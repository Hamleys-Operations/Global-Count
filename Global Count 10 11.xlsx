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rilcloud-my.sharepoint.com/personal/divya_lakshmi_ril_com/Documents/FY2627/Git Hub/GC/"/>
    </mc:Choice>
  </mc:AlternateContent>
  <xr:revisionPtr revIDLastSave="0" documentId="8_{9EE9C062-11BF-4DA5-B273-BECF0CDD05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</sheets>
  <definedNames>
    <definedName name="_xlnm._FilterDatabase" localSheetId="0" hidden="1">Sheet2!$A$1:$V$100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L39" i="2"/>
  <c r="M39" i="2"/>
  <c r="L40" i="2"/>
  <c r="M40" i="2"/>
  <c r="L41" i="2"/>
  <c r="M41" i="2"/>
  <c r="L42" i="2"/>
  <c r="M42" i="2"/>
  <c r="L43" i="2"/>
  <c r="M43" i="2"/>
  <c r="L44" i="2"/>
  <c r="M44" i="2"/>
  <c r="L45" i="2"/>
  <c r="M45" i="2"/>
  <c r="L46" i="2"/>
  <c r="M46" i="2"/>
  <c r="L47" i="2"/>
  <c r="M47" i="2"/>
  <c r="L48" i="2"/>
  <c r="M48" i="2"/>
  <c r="L49" i="2"/>
  <c r="M49" i="2"/>
  <c r="L50" i="2"/>
  <c r="M50" i="2"/>
  <c r="L51" i="2"/>
  <c r="M51" i="2"/>
  <c r="L52" i="2"/>
  <c r="M52" i="2"/>
  <c r="L53" i="2"/>
  <c r="M53" i="2"/>
  <c r="L54" i="2"/>
  <c r="M54" i="2"/>
  <c r="L55" i="2"/>
  <c r="M55" i="2"/>
  <c r="L56" i="2"/>
  <c r="M56" i="2"/>
  <c r="L57" i="2"/>
  <c r="M57" i="2"/>
  <c r="L58" i="2"/>
  <c r="M58" i="2"/>
  <c r="L59" i="2"/>
  <c r="M59" i="2"/>
  <c r="L60" i="2"/>
  <c r="M60" i="2"/>
  <c r="L61" i="2"/>
  <c r="M61" i="2"/>
  <c r="L62" i="2"/>
  <c r="M62" i="2"/>
  <c r="L63" i="2"/>
  <c r="M63" i="2"/>
  <c r="L64" i="2"/>
  <c r="M64" i="2"/>
  <c r="L65" i="2"/>
  <c r="M65" i="2"/>
  <c r="L66" i="2"/>
  <c r="M66" i="2"/>
  <c r="L67" i="2"/>
  <c r="M67" i="2"/>
  <c r="L68" i="2"/>
  <c r="M68" i="2"/>
  <c r="L69" i="2"/>
  <c r="M69" i="2"/>
  <c r="L70" i="2"/>
  <c r="M70" i="2"/>
  <c r="L71" i="2"/>
  <c r="M71" i="2"/>
  <c r="L72" i="2"/>
  <c r="M72" i="2"/>
  <c r="L73" i="2"/>
  <c r="M73" i="2"/>
  <c r="L74" i="2"/>
  <c r="M74" i="2"/>
  <c r="L75" i="2"/>
  <c r="M75" i="2"/>
  <c r="L76" i="2"/>
  <c r="M76" i="2"/>
  <c r="L77" i="2"/>
  <c r="M77" i="2"/>
  <c r="L78" i="2"/>
  <c r="M78" i="2"/>
  <c r="L79" i="2"/>
  <c r="M79" i="2"/>
  <c r="L80" i="2"/>
  <c r="M80" i="2"/>
  <c r="L81" i="2"/>
  <c r="M81" i="2"/>
  <c r="L82" i="2"/>
  <c r="M82" i="2"/>
  <c r="L83" i="2"/>
  <c r="M83" i="2"/>
  <c r="L84" i="2"/>
  <c r="M84" i="2"/>
  <c r="L85" i="2"/>
  <c r="M85" i="2"/>
  <c r="L86" i="2"/>
  <c r="M86" i="2"/>
  <c r="L87" i="2"/>
  <c r="M87" i="2"/>
  <c r="L88" i="2"/>
  <c r="M88" i="2"/>
  <c r="L89" i="2"/>
  <c r="M89" i="2"/>
  <c r="L90" i="2"/>
  <c r="M90" i="2"/>
  <c r="L91" i="2"/>
  <c r="M91" i="2"/>
  <c r="L92" i="2"/>
  <c r="M92" i="2"/>
  <c r="L93" i="2"/>
  <c r="M93" i="2"/>
  <c r="L94" i="2"/>
  <c r="M94" i="2"/>
  <c r="L95" i="2"/>
  <c r="M95" i="2"/>
  <c r="L96" i="2"/>
  <c r="M96" i="2"/>
  <c r="L97" i="2"/>
  <c r="M97" i="2"/>
  <c r="L98" i="2"/>
  <c r="M98" i="2"/>
  <c r="L99" i="2"/>
  <c r="M99" i="2"/>
  <c r="L100" i="2"/>
  <c r="M100" i="2"/>
  <c r="M2" i="2"/>
  <c r="L2" i="2"/>
</calcChain>
</file>

<file path=xl/sharedStrings.xml><?xml version="1.0" encoding="utf-8"?>
<sst xmlns="http://schemas.openxmlformats.org/spreadsheetml/2006/main" count="888" uniqueCount="434">
  <si>
    <t>Store Code</t>
  </si>
  <si>
    <t>Store Name</t>
  </si>
  <si>
    <t>RM</t>
  </si>
  <si>
    <t>ROM</t>
  </si>
  <si>
    <t>SD</t>
  </si>
  <si>
    <t>Date of Global Count</t>
  </si>
  <si>
    <t>No. of SKU's Counted</t>
  </si>
  <si>
    <t>Shortage Qty </t>
  </si>
  <si>
    <t>Shortage MAP Value</t>
  </si>
  <si>
    <t>Excess Qty</t>
  </si>
  <si>
    <t>Excess MAP Value</t>
  </si>
  <si>
    <t>Total Net Qty Difference </t>
  </si>
  <si>
    <t>Total Net MAP Value Difference</t>
  </si>
  <si>
    <t>Global Count Done by </t>
  </si>
  <si>
    <t>Global Count Validated by</t>
  </si>
  <si>
    <t>Shortage Qty Moved to 2997 ?</t>
  </si>
  <si>
    <t>Reason for Short or Excess Qty </t>
  </si>
  <si>
    <t>T61F</t>
  </si>
  <si>
    <t>PMC CHENNAI Play</t>
  </si>
  <si>
    <t>Yogesh</t>
  </si>
  <si>
    <t>Divya Lakshmi</t>
  </si>
  <si>
    <t>Damodharan</t>
  </si>
  <si>
    <t>0</t>
  </si>
  <si>
    <t>Abdus Samad</t>
  </si>
  <si>
    <t>Thejasree</t>
  </si>
  <si>
    <t>No</t>
  </si>
  <si>
    <t>THN6</t>
  </si>
  <si>
    <t>Utkal Galleria Bhubaneshwar</t>
  </si>
  <si>
    <t>Chetan</t>
  </si>
  <si>
    <t>Manmohan</t>
  </si>
  <si>
    <t>na</t>
  </si>
  <si>
    <t>THF4</t>
  </si>
  <si>
    <t>Quest Kolkatta</t>
  </si>
  <si>
    <t>Yes</t>
  </si>
  <si>
    <t>THH8</t>
  </si>
  <si>
    <t>L&amp;T Seawoods</t>
  </si>
  <si>
    <t>Shirish Mastud</t>
  </si>
  <si>
    <t>Sudhir</t>
  </si>
  <si>
    <t>NA</t>
  </si>
  <si>
    <t>THE9</t>
  </si>
  <si>
    <t>Viviana Thane</t>
  </si>
  <si>
    <t>Na</t>
  </si>
  <si>
    <t>Bipro</t>
  </si>
  <si>
    <t>Ashlin Moses</t>
  </si>
  <si>
    <t>Umesh</t>
  </si>
  <si>
    <t>THQ3</t>
  </si>
  <si>
    <t>Forum Esplanadone Bhubn</t>
  </si>
  <si>
    <t>AKASH KUMAR</t>
  </si>
  <si>
    <t>THI5</t>
  </si>
  <si>
    <t>Vega Siliguri</t>
  </si>
  <si>
    <t>THI9</t>
  </si>
  <si>
    <t>Xperia Mall, Dombivali</t>
  </si>
  <si>
    <t>THS7</t>
  </si>
  <si>
    <t>City Centre Mall AS</t>
  </si>
  <si>
    <t>THN2</t>
  </si>
  <si>
    <t>NUCLEUSMALL-JH</t>
  </si>
  <si>
    <t>Tausif</t>
  </si>
  <si>
    <t>Arpan</t>
  </si>
  <si>
    <t xml:space="preserve">Shivam </t>
  </si>
  <si>
    <t>SLP</t>
  </si>
  <si>
    <t>THJ2</t>
  </si>
  <si>
    <t>Oberoi Mall Mumbai</t>
  </si>
  <si>
    <t>Varun</t>
  </si>
  <si>
    <t>Qayyum Khan</t>
  </si>
  <si>
    <t>N/A</t>
  </si>
  <si>
    <t>TL9A</t>
  </si>
  <si>
    <t>Lullu Bangalore</t>
  </si>
  <si>
    <t>Purushottam</t>
  </si>
  <si>
    <t>THP1</t>
  </si>
  <si>
    <t>VR Chennai</t>
  </si>
  <si>
    <t>Dinesh Ravi</t>
  </si>
  <si>
    <t>THG3</t>
  </si>
  <si>
    <t>Forum Sujana Hyderabad</t>
  </si>
  <si>
    <t>Narayana</t>
  </si>
  <si>
    <t>T42C</t>
  </si>
  <si>
    <t>Goa Airport</t>
  </si>
  <si>
    <t>Nasir Shaikh</t>
  </si>
  <si>
    <t>Mall De Goa</t>
  </si>
  <si>
    <t>TBIM</t>
  </si>
  <si>
    <t>Zora Mall</t>
  </si>
  <si>
    <t>Virendra Rahevar</t>
  </si>
  <si>
    <t>T6AA</t>
  </si>
  <si>
    <t>PROZONE</t>
  </si>
  <si>
    <t>Subodh</t>
  </si>
  <si>
    <t>THI3</t>
  </si>
  <si>
    <t>Prozone Coimbatore</t>
  </si>
  <si>
    <t>Boobalan</t>
  </si>
  <si>
    <t>Shaikh Faizan</t>
  </si>
  <si>
    <t>THP2</t>
  </si>
  <si>
    <t>Indore C21</t>
  </si>
  <si>
    <t>Vijay Bagwan</t>
  </si>
  <si>
    <t>T7UJ</t>
  </si>
  <si>
    <t>Chennai T1A</t>
  </si>
  <si>
    <t>T5PF</t>
  </si>
  <si>
    <t>Ahmd T1A</t>
  </si>
  <si>
    <t xml:space="preserve">Ravi </t>
  </si>
  <si>
    <t>TXSG</t>
  </si>
  <si>
    <t>Indiranagar</t>
  </si>
  <si>
    <t>Harnest</t>
  </si>
  <si>
    <t>TL6C</t>
  </si>
  <si>
    <t>Rowan Marina Mall- T4IS</t>
  </si>
  <si>
    <t>THG9</t>
  </si>
  <si>
    <t>DB City Bhopal</t>
  </si>
  <si>
    <t xml:space="preserve">NA </t>
  </si>
  <si>
    <t>THS5</t>
  </si>
  <si>
    <t>Brigade Orion</t>
  </si>
  <si>
    <t>Bhagya</t>
  </si>
  <si>
    <t>THF0</t>
  </si>
  <si>
    <t>PMC Chennai</t>
  </si>
  <si>
    <t>Subash</t>
  </si>
  <si>
    <t>THK1</t>
  </si>
  <si>
    <t>VR Surat</t>
  </si>
  <si>
    <t>Sunil</t>
  </si>
  <si>
    <t>THM8</t>
  </si>
  <si>
    <t>THS6</t>
  </si>
  <si>
    <t>Golden Icon</t>
  </si>
  <si>
    <t>T8LI</t>
  </si>
  <si>
    <t>PMCK Kurla</t>
  </si>
  <si>
    <t>Almas</t>
  </si>
  <si>
    <t>Pranav</t>
  </si>
  <si>
    <t>T34O</t>
  </si>
  <si>
    <t>Citadel</t>
  </si>
  <si>
    <t>T3AA</t>
  </si>
  <si>
    <t>Rajkot</t>
  </si>
  <si>
    <t xml:space="preserve">Ravirajsinh jadeja </t>
  </si>
  <si>
    <t>THG7</t>
  </si>
  <si>
    <t>Forum Chennai</t>
  </si>
  <si>
    <t>THJ4</t>
  </si>
  <si>
    <t>Mumbai T2A</t>
  </si>
  <si>
    <t>TF5Y</t>
  </si>
  <si>
    <t>Oberoi Borivali</t>
  </si>
  <si>
    <t xml:space="preserve">Vishal </t>
  </si>
  <si>
    <t xml:space="preserve">Deepak </t>
  </si>
  <si>
    <t>TY7V</t>
  </si>
  <si>
    <t>Hilite</t>
  </si>
  <si>
    <t>T0ZV</t>
  </si>
  <si>
    <t>Delhi T1D</t>
  </si>
  <si>
    <t>Lalit Mohan</t>
  </si>
  <si>
    <t>Khubaib</t>
  </si>
  <si>
    <t>T42A</t>
  </si>
  <si>
    <t>Lulu Trivandrum</t>
  </si>
  <si>
    <t>Shani</t>
  </si>
  <si>
    <t>Ajith</t>
  </si>
  <si>
    <t>THF2</t>
  </si>
  <si>
    <t>Logix Mall Noida</t>
  </si>
  <si>
    <t xml:space="preserve">Not found </t>
  </si>
  <si>
    <t>TWR1</t>
  </si>
  <si>
    <t>Vizag</t>
  </si>
  <si>
    <t>THD8</t>
  </si>
  <si>
    <t>Express Avenue Chennai</t>
  </si>
  <si>
    <t>THF1</t>
  </si>
  <si>
    <t>Brookfields Coimbatore</t>
  </si>
  <si>
    <t>LPA</t>
  </si>
  <si>
    <t>Not found</t>
  </si>
  <si>
    <t>Jemseela</t>
  </si>
  <si>
    <t>T7ZN</t>
  </si>
  <si>
    <t>R City Ghatkopar</t>
  </si>
  <si>
    <t xml:space="preserve">Gopinath </t>
  </si>
  <si>
    <t>Alwin</t>
  </si>
  <si>
    <t>Divya</t>
  </si>
  <si>
    <t>THF8</t>
  </si>
  <si>
    <t>Delhi T3A Airport</t>
  </si>
  <si>
    <t>Shatrughan</t>
  </si>
  <si>
    <t xml:space="preserve">Nasurudeen </t>
  </si>
  <si>
    <t>ALI ASHRAF</t>
  </si>
  <si>
    <t>THH2</t>
  </si>
  <si>
    <t>Delhi Pacific</t>
  </si>
  <si>
    <t>Ajay Gill</t>
  </si>
  <si>
    <t>Harsh Sharma</t>
  </si>
  <si>
    <t>THH3</t>
  </si>
  <si>
    <t>Delhi Selectcity</t>
  </si>
  <si>
    <t>rohit</t>
  </si>
  <si>
    <t>T26L</t>
  </si>
  <si>
    <t>Kopa Pune</t>
  </si>
  <si>
    <t>TXUT</t>
  </si>
  <si>
    <t>VAISHALI</t>
  </si>
  <si>
    <t>THG0</t>
  </si>
  <si>
    <t>Lulu Mall</t>
  </si>
  <si>
    <t>Faisal</t>
  </si>
  <si>
    <t>nil</t>
  </si>
  <si>
    <t>Onkar Prasad</t>
  </si>
  <si>
    <t>THQ0</t>
  </si>
  <si>
    <t>Ambuja Raipur</t>
  </si>
  <si>
    <t>Krushna</t>
  </si>
  <si>
    <t>Rajesh Singh</t>
  </si>
  <si>
    <t>THS8</t>
  </si>
  <si>
    <t>Gaur Central</t>
  </si>
  <si>
    <t>Ashish Juyal</t>
  </si>
  <si>
    <t>Item Not found</t>
  </si>
  <si>
    <t>THF9</t>
  </si>
  <si>
    <t>Amb Gurg Delhi</t>
  </si>
  <si>
    <t>Paramjeet</t>
  </si>
  <si>
    <t xml:space="preserve">Ankush </t>
  </si>
  <si>
    <t>TAUN</t>
  </si>
  <si>
    <t>Udhaipur Celebration</t>
  </si>
  <si>
    <t>TAHY</t>
  </si>
  <si>
    <t>WMG Play</t>
  </si>
  <si>
    <t>T2UO</t>
  </si>
  <si>
    <t>Wakad PUNE MOM</t>
  </si>
  <si>
    <t>THD9</t>
  </si>
  <si>
    <t>Infiniti Malad</t>
  </si>
  <si>
    <t>SM</t>
  </si>
  <si>
    <t xml:space="preserve">Usama shaikh </t>
  </si>
  <si>
    <t>Praveen</t>
  </si>
  <si>
    <t xml:space="preserve">Venkatesan </t>
  </si>
  <si>
    <t>prabhakar</t>
  </si>
  <si>
    <t>Mayur</t>
  </si>
  <si>
    <t>TY4T</t>
  </si>
  <si>
    <t>JWD</t>
  </si>
  <si>
    <t>Sadiq</t>
  </si>
  <si>
    <t>Slp</t>
  </si>
  <si>
    <t>T38E</t>
  </si>
  <si>
    <t>Lulu Lko</t>
  </si>
  <si>
    <t>THR0</t>
  </si>
  <si>
    <t>D Centre Vijaywada</t>
  </si>
  <si>
    <t>TJU3</t>
  </si>
  <si>
    <t>GSM Mall Hyd</t>
  </si>
  <si>
    <t>Srikanth</t>
  </si>
  <si>
    <t>Hemant</t>
  </si>
  <si>
    <t>T2DK</t>
  </si>
  <si>
    <t>Lucknow Airport Arrival</t>
  </si>
  <si>
    <t>Shubham</t>
  </si>
  <si>
    <t>T2DE</t>
  </si>
  <si>
    <t>Lucknow Airport Departure</t>
  </si>
  <si>
    <t>TBC7</t>
  </si>
  <si>
    <t>Creekside Doraha</t>
  </si>
  <si>
    <t>THG8</t>
  </si>
  <si>
    <t>Pavilion Ludhiana</t>
  </si>
  <si>
    <t>Sagar</t>
  </si>
  <si>
    <t xml:space="preserve">Pulkit </t>
  </si>
  <si>
    <t>TM1H</t>
  </si>
  <si>
    <t>Pacific Faridabad</t>
  </si>
  <si>
    <t>TZ8A</t>
  </si>
  <si>
    <t>Dehradun</t>
  </si>
  <si>
    <t>Ankita</t>
  </si>
  <si>
    <t>Hasan</t>
  </si>
  <si>
    <t>THM2</t>
  </si>
  <si>
    <t>Z Square Kanpur</t>
  </si>
  <si>
    <t xml:space="preserve">Sakshi Prasad </t>
  </si>
  <si>
    <t>TJU6</t>
  </si>
  <si>
    <t>Palassio Lucknow</t>
  </si>
  <si>
    <t>TASG</t>
  </si>
  <si>
    <t>Delhi Airport T1A</t>
  </si>
  <si>
    <t>Vikas</t>
  </si>
  <si>
    <t>Jai Prakash</t>
  </si>
  <si>
    <t>Sakshi</t>
  </si>
  <si>
    <t>TPV5</t>
  </si>
  <si>
    <t>Bangalore Departure</t>
  </si>
  <si>
    <t>THQ2</t>
  </si>
  <si>
    <t>Forum Mysore</t>
  </si>
  <si>
    <t>THJ1</t>
  </si>
  <si>
    <t>Alphaone, Amritsar</t>
  </si>
  <si>
    <t>Kajal</t>
  </si>
  <si>
    <t>Sunil Manvar</t>
  </si>
  <si>
    <t>TL6N</t>
  </si>
  <si>
    <t>Rowan Jamnagar</t>
  </si>
  <si>
    <t>Farhan Kazi</t>
  </si>
  <si>
    <t>Aman</t>
  </si>
  <si>
    <t>Ali Ahmad Khan</t>
  </si>
  <si>
    <t>Shariq ali</t>
  </si>
  <si>
    <t xml:space="preserve">Nazim </t>
  </si>
  <si>
    <t>Saikrishna</t>
  </si>
  <si>
    <t>THE0</t>
  </si>
  <si>
    <t>PMC Bangalore</t>
  </si>
  <si>
    <t>THJ0</t>
  </si>
  <si>
    <t>Inorbit Mall, Hyderabad</t>
  </si>
  <si>
    <t>FC,SLP,BOH</t>
  </si>
  <si>
    <t>TB2O</t>
  </si>
  <si>
    <t>Palladium, Mumbai (Relocation)</t>
  </si>
  <si>
    <t>Akram</t>
  </si>
  <si>
    <t>THG4</t>
  </si>
  <si>
    <t>1MG Bangalore</t>
  </si>
  <si>
    <t>THN3</t>
  </si>
  <si>
    <t>L&amp;T Punjugutta</t>
  </si>
  <si>
    <t>T2WF</t>
  </si>
  <si>
    <t>Forum Kochi</t>
  </si>
  <si>
    <t>TK0G</t>
  </si>
  <si>
    <t>Rowan garuda( T9MV</t>
  </si>
  <si>
    <t>THK0</t>
  </si>
  <si>
    <t>Mall of India, Noida New</t>
  </si>
  <si>
    <t xml:space="preserve">Himanshu </t>
  </si>
  <si>
    <t>Vishnu</t>
  </si>
  <si>
    <t>Ramesh</t>
  </si>
  <si>
    <t>THO8</t>
  </si>
  <si>
    <t>Shantiniketan Bangalore</t>
  </si>
  <si>
    <t xml:space="preserve">0 </t>
  </si>
  <si>
    <t>THE2</t>
  </si>
  <si>
    <t xml:space="preserve">Jaydeep Majirana </t>
  </si>
  <si>
    <t>THO9</t>
  </si>
  <si>
    <t>UB City Bangalore</t>
  </si>
  <si>
    <t>Anjali</t>
  </si>
  <si>
    <t>THG5</t>
  </si>
  <si>
    <t>Vadodara</t>
  </si>
  <si>
    <t>Sagar Gupta</t>
  </si>
  <si>
    <t>Pooja</t>
  </si>
  <si>
    <t>Alpha One Ahmedabad</t>
  </si>
  <si>
    <t>Dileep</t>
  </si>
  <si>
    <t>Biswa</t>
  </si>
  <si>
    <t>Rajan &amp; Shriniwas</t>
  </si>
  <si>
    <t>PREMANANDA THAKUR</t>
  </si>
  <si>
    <t>ITEM NOT FOUND</t>
  </si>
  <si>
    <t xml:space="preserve">Hemant </t>
  </si>
  <si>
    <t>DINESH</t>
  </si>
  <si>
    <t>Mismatch</t>
  </si>
  <si>
    <t>Vishal</t>
  </si>
  <si>
    <t>THM0</t>
  </si>
  <si>
    <t>Ardee Mall, Gurgaon</t>
  </si>
  <si>
    <t xml:space="preserve">Shekhar </t>
  </si>
  <si>
    <t>Kanha</t>
  </si>
  <si>
    <t>Ram</t>
  </si>
  <si>
    <t>TB6V</t>
  </si>
  <si>
    <t>Unity Elegante</t>
  </si>
  <si>
    <t xml:space="preserve">Anjali </t>
  </si>
  <si>
    <t>TZ8Z</t>
  </si>
  <si>
    <t>Vega City</t>
  </si>
  <si>
    <t>T2MI</t>
  </si>
  <si>
    <t>MALL OF ASIA</t>
  </si>
  <si>
    <t>TJY4</t>
  </si>
  <si>
    <t>Airia mall</t>
  </si>
  <si>
    <t>TLX5</t>
  </si>
  <si>
    <t>Vegas dwarka</t>
  </si>
  <si>
    <t>Tarun</t>
  </si>
  <si>
    <t>TMA0</t>
  </si>
  <si>
    <t>H N Hospital</t>
  </si>
  <si>
    <t xml:space="preserve">Nothing </t>
  </si>
  <si>
    <t>Arpita</t>
  </si>
  <si>
    <t>Neketha</t>
  </si>
  <si>
    <t>faizan khan</t>
  </si>
  <si>
    <t xml:space="preserve">Yakin </t>
  </si>
  <si>
    <t>SUDEEP</t>
  </si>
  <si>
    <t>Alok</t>
  </si>
  <si>
    <t>KAMLESH</t>
  </si>
  <si>
    <t>Bakim</t>
  </si>
  <si>
    <t>Aditya</t>
  </si>
  <si>
    <t>RUPAM SINGHA</t>
  </si>
  <si>
    <t xml:space="preserve">No short Excess </t>
  </si>
  <si>
    <t>Sreenu</t>
  </si>
  <si>
    <t xml:space="preserve">Hariom ahirwar </t>
  </si>
  <si>
    <t>T36H</t>
  </si>
  <si>
    <t>Falcon City Bangalore</t>
  </si>
  <si>
    <t xml:space="preserve">Daksh Patel </t>
  </si>
  <si>
    <t>Dimple</t>
  </si>
  <si>
    <t>Shivani</t>
  </si>
  <si>
    <t>TXR2</t>
  </si>
  <si>
    <t>Zirakpur</t>
  </si>
  <si>
    <t xml:space="preserve">Rishabh </t>
  </si>
  <si>
    <t xml:space="preserve">Sunny </t>
  </si>
  <si>
    <t xml:space="preserve">Bharath Rao </t>
  </si>
  <si>
    <t xml:space="preserve">Product not found </t>
  </si>
  <si>
    <t>Manish</t>
  </si>
  <si>
    <t>Sanoj</t>
  </si>
  <si>
    <t>THERE IS NO SHORTAGE</t>
  </si>
  <si>
    <t xml:space="preserve">Veeresh </t>
  </si>
  <si>
    <t xml:space="preserve">Debasish </t>
  </si>
  <si>
    <t>Varsha &amp; Lingesh</t>
  </si>
  <si>
    <t>Sudha</t>
  </si>
  <si>
    <t xml:space="preserve">Dildar </t>
  </si>
  <si>
    <t>Kishan</t>
  </si>
  <si>
    <t xml:space="preserve">Veeresh Kumar </t>
  </si>
  <si>
    <t>kumkum</t>
  </si>
  <si>
    <t>Amit Kumar giri</t>
  </si>
  <si>
    <t>Sarveah</t>
  </si>
  <si>
    <t>MOHIT</t>
  </si>
  <si>
    <t>MOhit</t>
  </si>
  <si>
    <t xml:space="preserve">Manisha, suhail </t>
  </si>
  <si>
    <t>BUDDHA</t>
  </si>
  <si>
    <t>MANMOHAN</t>
  </si>
  <si>
    <t>Khushi</t>
  </si>
  <si>
    <t>FC,</t>
  </si>
  <si>
    <t>Jitendra maru</t>
  </si>
  <si>
    <t>Madhavi</t>
  </si>
  <si>
    <t>paras</t>
  </si>
  <si>
    <t xml:space="preserve">Sanjay </t>
  </si>
  <si>
    <t xml:space="preserve">Atish </t>
  </si>
  <si>
    <t>Harsh</t>
  </si>
  <si>
    <t xml:space="preserve">Monorama </t>
  </si>
  <si>
    <t xml:space="preserve">Physical qty not found </t>
  </si>
  <si>
    <t>BISWAJIT NAAYK</t>
  </si>
  <si>
    <t>Tanbir</t>
  </si>
  <si>
    <t>No short or No Excess</t>
  </si>
  <si>
    <t>Rehan</t>
  </si>
  <si>
    <t>Not found in store.</t>
  </si>
  <si>
    <t>Divyanshu/Sandeep</t>
  </si>
  <si>
    <t>Mismatch of Items</t>
  </si>
  <si>
    <t xml:space="preserve">No short &amp; Excess </t>
  </si>
  <si>
    <t xml:space="preserve">Feroz </t>
  </si>
  <si>
    <t>Subhojit</t>
  </si>
  <si>
    <t xml:space="preserve">wrong scanning during PI </t>
  </si>
  <si>
    <t>jayashankara K</t>
  </si>
  <si>
    <t>Gagan</t>
  </si>
  <si>
    <t xml:space="preserve">Afsar </t>
  </si>
  <si>
    <t xml:space="preserve">Lingesh, Bobby, Mohmansing </t>
  </si>
  <si>
    <t>Amal</t>
  </si>
  <si>
    <t xml:space="preserve">Physical not available </t>
  </si>
  <si>
    <t xml:space="preserve">Shivani/Wasim/topomoy </t>
  </si>
  <si>
    <t xml:space="preserve">Khushbu </t>
  </si>
  <si>
    <t>Ritesh</t>
  </si>
  <si>
    <t xml:space="preserve">Ayushi </t>
  </si>
  <si>
    <t>AGRAJ</t>
  </si>
  <si>
    <t xml:space="preserve">701 PI movement for both short qty </t>
  </si>
  <si>
    <t xml:space="preserve">Prasanta </t>
  </si>
  <si>
    <t xml:space="preserve">Naveen </t>
  </si>
  <si>
    <t>No short qty</t>
  </si>
  <si>
    <t>NARESH</t>
  </si>
  <si>
    <t>SYED RIYAZ</t>
  </si>
  <si>
    <t xml:space="preserve">     NA</t>
  </si>
  <si>
    <t>SLP Syyam</t>
  </si>
  <si>
    <t>Sabik</t>
  </si>
  <si>
    <t xml:space="preserve">Shankar </t>
  </si>
  <si>
    <t xml:space="preserve">Archana </t>
  </si>
  <si>
    <t>raja</t>
  </si>
  <si>
    <t>arsh</t>
  </si>
  <si>
    <t>could not find</t>
  </si>
  <si>
    <t xml:space="preserve">Dolly </t>
  </si>
  <si>
    <t xml:space="preserve">dolly </t>
  </si>
  <si>
    <t xml:space="preserve">Shankar &amp; Sachin </t>
  </si>
  <si>
    <t>praveen</t>
  </si>
  <si>
    <t>hari ramkumar</t>
  </si>
  <si>
    <t xml:space="preserve">AMOL </t>
  </si>
  <si>
    <t>Aleena</t>
  </si>
  <si>
    <t>Ppradeep</t>
  </si>
  <si>
    <t>Sathish/RAvi ( LPA )</t>
  </si>
  <si>
    <t>Deepak , harjinder</t>
  </si>
  <si>
    <t>PREMA</t>
  </si>
  <si>
    <t>Marutesh s</t>
  </si>
  <si>
    <t>Sudeesh</t>
  </si>
  <si>
    <t xml:space="preserve">Srinivasan </t>
  </si>
  <si>
    <t>Rajadurai Jenny</t>
  </si>
  <si>
    <t xml:space="preserve">Pradeep/Yogendra </t>
  </si>
  <si>
    <t>Govind</t>
  </si>
  <si>
    <t>GiRi Gupta</t>
  </si>
  <si>
    <t>Pikesh</t>
  </si>
  <si>
    <t xml:space="preserve">Maru jitendrakumar </t>
  </si>
  <si>
    <t>Sarath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</si>
</sst>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CB17-D3CF-4742-B5B7-C9691AB415A7}">
  <dimension ref="A1:Q100"/>
  <sheetViews>
    <sheetView tabSelected="1" topLeftCell="D1" workbookViewId="0">
      <selection activeCell="L2" sqref="L2:M100"/>
    </sheetView>
  </sheetViews>
  <sheetFormatPr defaultRowHeight="15" x14ac:dyDescent="0.25"/>
  <cols>
    <col min="1" max="1" width="10.7109375" bestFit="1" customWidth="1"/>
    <col min="2" max="2" width="30.140625" bestFit="1" customWidth="1"/>
    <col min="3" max="3" width="7.28515625" bestFit="1" customWidth="1"/>
    <col min="4" max="4" width="14.140625" bestFit="1" customWidth="1"/>
    <col min="5" max="5" width="16.42578125" bestFit="1" customWidth="1"/>
    <col min="6" max="6" width="19.5703125" style="1" bestFit="1" customWidth="1"/>
    <col min="7" max="7" width="19.85546875" bestFit="1" customWidth="1"/>
    <col min="8" max="8" width="12.85546875" bestFit="1" customWidth="1"/>
    <col min="9" max="9" width="19.28515625" bestFit="1" customWidth="1"/>
    <col min="10" max="10" width="10.28515625" bestFit="1" customWidth="1"/>
    <col min="11" max="11" width="17" bestFit="1" customWidth="1"/>
    <col min="12" max="12" width="23.42578125" bestFit="1" customWidth="1"/>
    <col min="13" max="13" width="29.85546875" bestFit="1" customWidth="1"/>
    <col min="14" max="14" width="28.28515625" bestFit="1" customWidth="1"/>
    <col min="15" max="15" width="32.28515625" bestFit="1" customWidth="1"/>
    <col min="16" max="16" width="27.7109375" bestFit="1" customWidth="1"/>
    <col min="17" max="17" width="110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107</v>
      </c>
      <c r="B2" t="s">
        <v>108</v>
      </c>
      <c r="C2" t="s">
        <v>19</v>
      </c>
      <c r="D2" t="s">
        <v>20</v>
      </c>
      <c r="E2" t="s">
        <v>21</v>
      </c>
      <c r="F2" s="1">
        <v>46213</v>
      </c>
      <c r="G2">
        <v>20</v>
      </c>
      <c r="H2" s="2">
        <v>4</v>
      </c>
      <c r="I2" s="2">
        <v>5892</v>
      </c>
      <c r="J2" s="2">
        <v>0</v>
      </c>
      <c r="K2" s="2">
        <v>0</v>
      </c>
      <c r="L2" s="4">
        <f t="shared" ref="L2:M2" si="0">IFERROR(VALUE(SUBSTITUTE(J2,",","")),0)-IFERROR(VALUE(SUBSTITUTE(H2,",","")),0)</f>
        <v>-4</v>
      </c>
      <c r="M2" s="4">
        <f t="shared" si="0"/>
        <v>-5892</v>
      </c>
      <c r="N2" t="s">
        <v>354</v>
      </c>
      <c r="O2" t="s">
        <v>204</v>
      </c>
      <c r="P2" t="s">
        <v>33</v>
      </c>
      <c r="Q2" t="s">
        <v>348</v>
      </c>
    </row>
    <row r="3" spans="1:17" x14ac:dyDescent="0.25">
      <c r="A3" t="s">
        <v>127</v>
      </c>
      <c r="B3" t="s">
        <v>128</v>
      </c>
      <c r="C3" t="s">
        <v>19</v>
      </c>
      <c r="D3" t="s">
        <v>36</v>
      </c>
      <c r="E3" t="s">
        <v>76</v>
      </c>
      <c r="F3" s="1">
        <v>46213</v>
      </c>
      <c r="G3" s="2">
        <v>20</v>
      </c>
      <c r="H3" s="2">
        <v>0</v>
      </c>
      <c r="I3" s="2">
        <v>0</v>
      </c>
      <c r="J3" s="2">
        <v>0</v>
      </c>
      <c r="K3" s="2">
        <v>0</v>
      </c>
      <c r="L3" s="4">
        <f t="shared" ref="L3:L66" si="1">IFERROR(VALUE(SUBSTITUTE(J3,",","")),0)-IFERROR(VALUE(SUBSTITUTE(H3,",","")),0)</f>
        <v>0</v>
      </c>
      <c r="M3" s="4">
        <f t="shared" ref="M3:M66" si="2">IFERROR(VALUE(SUBSTITUTE(K3,",","")),0)-IFERROR(VALUE(SUBSTITUTE(I3,",","")),0)</f>
        <v>0</v>
      </c>
      <c r="N3" s="2">
        <v>0</v>
      </c>
      <c r="O3" s="2">
        <v>0</v>
      </c>
      <c r="P3" t="s">
        <v>38</v>
      </c>
      <c r="Q3" t="s">
        <v>38</v>
      </c>
    </row>
    <row r="4" spans="1:17" x14ac:dyDescent="0.25">
      <c r="A4" t="s">
        <v>322</v>
      </c>
      <c r="B4" t="s">
        <v>323</v>
      </c>
      <c r="C4" t="s">
        <v>19</v>
      </c>
      <c r="D4" t="s">
        <v>36</v>
      </c>
      <c r="E4" t="s">
        <v>118</v>
      </c>
      <c r="F4" s="1">
        <v>46213</v>
      </c>
      <c r="G4" s="2">
        <v>20</v>
      </c>
      <c r="H4" s="2">
        <v>0</v>
      </c>
      <c r="I4" s="2">
        <v>0</v>
      </c>
      <c r="J4" s="2">
        <v>0</v>
      </c>
      <c r="K4" s="2">
        <v>0</v>
      </c>
      <c r="L4" s="4">
        <f t="shared" si="1"/>
        <v>0</v>
      </c>
      <c r="M4" s="4">
        <f t="shared" si="2"/>
        <v>0</v>
      </c>
      <c r="N4" t="s">
        <v>325</v>
      </c>
      <c r="O4" t="s">
        <v>325</v>
      </c>
      <c r="P4" t="s">
        <v>25</v>
      </c>
      <c r="Q4" t="s">
        <v>324</v>
      </c>
    </row>
    <row r="5" spans="1:17" x14ac:dyDescent="0.25">
      <c r="A5" t="s">
        <v>78</v>
      </c>
      <c r="B5" t="s">
        <v>79</v>
      </c>
      <c r="C5" t="s">
        <v>19</v>
      </c>
      <c r="D5" t="s">
        <v>36</v>
      </c>
      <c r="E5" t="s">
        <v>80</v>
      </c>
      <c r="F5" s="1">
        <v>46213</v>
      </c>
      <c r="G5" s="2">
        <v>20</v>
      </c>
      <c r="H5" s="2">
        <v>0</v>
      </c>
      <c r="I5" s="2">
        <v>0</v>
      </c>
      <c r="J5" s="2">
        <v>0</v>
      </c>
      <c r="K5" s="2">
        <v>0</v>
      </c>
      <c r="L5" s="4">
        <f t="shared" si="1"/>
        <v>0</v>
      </c>
      <c r="M5" s="4">
        <f t="shared" si="2"/>
        <v>0</v>
      </c>
      <c r="N5" t="s">
        <v>359</v>
      </c>
      <c r="O5" t="s">
        <v>359</v>
      </c>
      <c r="P5" t="s">
        <v>38</v>
      </c>
    </row>
    <row r="6" spans="1:17" x14ac:dyDescent="0.25">
      <c r="A6" t="s">
        <v>267</v>
      </c>
      <c r="B6" t="s">
        <v>268</v>
      </c>
      <c r="C6" t="s">
        <v>19</v>
      </c>
      <c r="D6" t="s">
        <v>36</v>
      </c>
      <c r="E6" t="s">
        <v>118</v>
      </c>
      <c r="F6" s="1">
        <v>46213</v>
      </c>
      <c r="G6" s="2">
        <v>20</v>
      </c>
      <c r="H6" s="2">
        <v>0</v>
      </c>
      <c r="I6" s="2">
        <v>0</v>
      </c>
      <c r="J6" s="2">
        <v>0</v>
      </c>
      <c r="K6" s="2">
        <v>0</v>
      </c>
      <c r="L6" s="4">
        <f t="shared" si="1"/>
        <v>0</v>
      </c>
      <c r="M6" s="4">
        <f t="shared" si="2"/>
        <v>0</v>
      </c>
      <c r="N6" t="s">
        <v>22</v>
      </c>
      <c r="O6" t="s">
        <v>22</v>
      </c>
      <c r="P6" t="s">
        <v>38</v>
      </c>
      <c r="Q6" t="s">
        <v>30</v>
      </c>
    </row>
    <row r="7" spans="1:17" x14ac:dyDescent="0.25">
      <c r="A7" t="s">
        <v>241</v>
      </c>
      <c r="B7" t="s">
        <v>242</v>
      </c>
      <c r="C7" t="s">
        <v>42</v>
      </c>
      <c r="D7" t="s">
        <v>137</v>
      </c>
      <c r="E7" t="s">
        <v>138</v>
      </c>
      <c r="F7" s="1">
        <v>46213</v>
      </c>
      <c r="G7" s="2">
        <v>14</v>
      </c>
      <c r="H7" s="2">
        <v>0</v>
      </c>
      <c r="I7" s="2">
        <v>0</v>
      </c>
      <c r="J7" s="2">
        <v>0</v>
      </c>
      <c r="K7" s="2">
        <v>0</v>
      </c>
      <c r="L7" s="4">
        <f t="shared" si="1"/>
        <v>0</v>
      </c>
      <c r="M7" s="4">
        <f t="shared" si="2"/>
        <v>0</v>
      </c>
      <c r="N7" t="s">
        <v>360</v>
      </c>
      <c r="O7" t="s">
        <v>337</v>
      </c>
      <c r="P7" t="s">
        <v>38</v>
      </c>
      <c r="Q7" t="s">
        <v>38</v>
      </c>
    </row>
    <row r="8" spans="1:17" x14ac:dyDescent="0.25">
      <c r="A8" t="s">
        <v>34</v>
      </c>
      <c r="B8" t="s">
        <v>35</v>
      </c>
      <c r="C8" t="s">
        <v>19</v>
      </c>
      <c r="D8" t="s">
        <v>36</v>
      </c>
      <c r="E8" t="s">
        <v>37</v>
      </c>
      <c r="F8" s="1">
        <v>46213</v>
      </c>
      <c r="G8" s="2">
        <v>20</v>
      </c>
      <c r="H8" s="2">
        <v>0</v>
      </c>
      <c r="I8" s="2">
        <v>0</v>
      </c>
      <c r="J8" s="2">
        <v>0</v>
      </c>
      <c r="K8" s="2">
        <v>0</v>
      </c>
      <c r="L8" s="4">
        <f t="shared" si="1"/>
        <v>0</v>
      </c>
      <c r="M8" s="4">
        <f t="shared" si="2"/>
        <v>0</v>
      </c>
      <c r="N8" t="s">
        <v>206</v>
      </c>
      <c r="O8" t="s">
        <v>162</v>
      </c>
      <c r="P8" t="s">
        <v>38</v>
      </c>
    </row>
    <row r="9" spans="1:17" x14ac:dyDescent="0.25">
      <c r="A9" t="s">
        <v>232</v>
      </c>
      <c r="B9" t="s">
        <v>233</v>
      </c>
      <c r="C9" t="s">
        <v>42</v>
      </c>
      <c r="D9" t="s">
        <v>137</v>
      </c>
      <c r="E9" t="s">
        <v>187</v>
      </c>
      <c r="F9" s="1">
        <v>46213</v>
      </c>
      <c r="G9" s="2">
        <v>28</v>
      </c>
      <c r="H9" s="2">
        <v>0</v>
      </c>
      <c r="I9" s="2">
        <v>0</v>
      </c>
      <c r="J9" s="2">
        <v>0</v>
      </c>
      <c r="K9" s="2">
        <v>0</v>
      </c>
      <c r="L9" s="4">
        <f t="shared" si="1"/>
        <v>0</v>
      </c>
      <c r="M9" s="4">
        <f t="shared" si="2"/>
        <v>0</v>
      </c>
      <c r="N9" t="s">
        <v>234</v>
      </c>
      <c r="O9" t="s">
        <v>235</v>
      </c>
      <c r="P9" t="s">
        <v>38</v>
      </c>
    </row>
    <row r="10" spans="1:17" x14ac:dyDescent="0.25">
      <c r="A10" t="s">
        <v>207</v>
      </c>
      <c r="B10" t="s">
        <v>208</v>
      </c>
      <c r="C10" t="s">
        <v>19</v>
      </c>
      <c r="D10" t="s">
        <v>36</v>
      </c>
      <c r="E10" t="s">
        <v>37</v>
      </c>
      <c r="F10" s="1">
        <v>46213</v>
      </c>
      <c r="G10" s="2">
        <v>20</v>
      </c>
      <c r="H10" s="2">
        <v>0</v>
      </c>
      <c r="I10" s="2">
        <v>0</v>
      </c>
      <c r="J10" s="2">
        <v>0</v>
      </c>
      <c r="K10" s="2">
        <v>0</v>
      </c>
      <c r="L10" s="4">
        <f t="shared" si="1"/>
        <v>0</v>
      </c>
      <c r="M10" s="4">
        <f t="shared" si="2"/>
        <v>0</v>
      </c>
      <c r="N10" t="s">
        <v>209</v>
      </c>
      <c r="O10" t="s">
        <v>361</v>
      </c>
      <c r="P10" t="s">
        <v>38</v>
      </c>
      <c r="Q10" t="s">
        <v>41</v>
      </c>
    </row>
    <row r="11" spans="1:17" x14ac:dyDescent="0.25">
      <c r="A11" t="s">
        <v>93</v>
      </c>
      <c r="B11" t="s">
        <v>94</v>
      </c>
      <c r="C11" t="s">
        <v>19</v>
      </c>
      <c r="D11" t="s">
        <v>36</v>
      </c>
      <c r="E11" t="s">
        <v>80</v>
      </c>
      <c r="F11" s="1">
        <v>46213</v>
      </c>
      <c r="G11" s="2">
        <v>20</v>
      </c>
      <c r="H11" s="2">
        <v>0</v>
      </c>
      <c r="I11" s="2">
        <v>0</v>
      </c>
      <c r="J11" s="2">
        <v>0</v>
      </c>
      <c r="K11" s="2">
        <v>0</v>
      </c>
      <c r="L11" s="4">
        <f t="shared" si="1"/>
        <v>0</v>
      </c>
      <c r="M11" s="4">
        <f t="shared" si="2"/>
        <v>0</v>
      </c>
      <c r="N11" t="s">
        <v>95</v>
      </c>
      <c r="O11" t="s">
        <v>328</v>
      </c>
      <c r="P11" t="s">
        <v>38</v>
      </c>
      <c r="Q11" t="s">
        <v>38</v>
      </c>
    </row>
    <row r="12" spans="1:17" x14ac:dyDescent="0.25">
      <c r="A12" t="s">
        <v>50</v>
      </c>
      <c r="B12" t="s">
        <v>51</v>
      </c>
      <c r="C12" t="s">
        <v>19</v>
      </c>
      <c r="D12" t="s">
        <v>36</v>
      </c>
      <c r="E12" t="s">
        <v>37</v>
      </c>
      <c r="F12" s="1">
        <v>46213</v>
      </c>
      <c r="G12" s="2">
        <v>20</v>
      </c>
      <c r="H12" s="2">
        <v>0</v>
      </c>
      <c r="I12" s="2">
        <v>0</v>
      </c>
      <c r="J12" s="2">
        <v>0</v>
      </c>
      <c r="K12" s="2">
        <v>0</v>
      </c>
      <c r="L12" s="4">
        <f t="shared" si="1"/>
        <v>0</v>
      </c>
      <c r="M12" s="4">
        <f t="shared" si="2"/>
        <v>0</v>
      </c>
      <c r="N12" t="s">
        <v>58</v>
      </c>
      <c r="O12" t="s">
        <v>202</v>
      </c>
      <c r="P12" t="s">
        <v>38</v>
      </c>
      <c r="Q12" t="s">
        <v>41</v>
      </c>
    </row>
    <row r="13" spans="1:17" x14ac:dyDescent="0.25">
      <c r="A13" t="s">
        <v>113</v>
      </c>
      <c r="B13" t="s">
        <v>77</v>
      </c>
      <c r="C13" t="s">
        <v>19</v>
      </c>
      <c r="D13" t="s">
        <v>36</v>
      </c>
      <c r="E13" t="s">
        <v>76</v>
      </c>
      <c r="F13" s="1">
        <v>46213</v>
      </c>
      <c r="G13" s="2">
        <v>20</v>
      </c>
      <c r="H13" s="2">
        <v>0</v>
      </c>
      <c r="I13" s="2">
        <v>0</v>
      </c>
      <c r="J13" s="2">
        <v>0</v>
      </c>
      <c r="K13" s="2">
        <v>0</v>
      </c>
      <c r="L13" s="4">
        <f t="shared" si="1"/>
        <v>0</v>
      </c>
      <c r="M13" s="4">
        <f t="shared" si="2"/>
        <v>0</v>
      </c>
      <c r="N13" t="s">
        <v>205</v>
      </c>
      <c r="O13" t="s">
        <v>171</v>
      </c>
      <c r="P13" t="s">
        <v>38</v>
      </c>
      <c r="Q13" t="s">
        <v>30</v>
      </c>
    </row>
    <row r="14" spans="1:17" x14ac:dyDescent="0.25">
      <c r="A14" t="s">
        <v>114</v>
      </c>
      <c r="B14" t="s">
        <v>115</v>
      </c>
      <c r="C14" t="s">
        <v>19</v>
      </c>
      <c r="D14" t="s">
        <v>36</v>
      </c>
      <c r="E14" t="s">
        <v>80</v>
      </c>
      <c r="F14" s="1">
        <v>46213</v>
      </c>
      <c r="G14" s="2">
        <v>20</v>
      </c>
      <c r="H14" s="2">
        <v>0</v>
      </c>
      <c r="I14" s="2">
        <v>0</v>
      </c>
      <c r="J14" s="2">
        <v>0</v>
      </c>
      <c r="K14" s="2">
        <v>0</v>
      </c>
      <c r="L14" s="4">
        <f t="shared" si="1"/>
        <v>0</v>
      </c>
      <c r="M14" s="4">
        <f t="shared" si="2"/>
        <v>0</v>
      </c>
      <c r="N14" t="s">
        <v>287</v>
      </c>
      <c r="O14" t="s">
        <v>340</v>
      </c>
      <c r="P14" t="s">
        <v>38</v>
      </c>
      <c r="Q14" t="s">
        <v>41</v>
      </c>
    </row>
    <row r="15" spans="1:17" x14ac:dyDescent="0.25">
      <c r="A15" t="s">
        <v>129</v>
      </c>
      <c r="B15" t="s">
        <v>130</v>
      </c>
      <c r="C15" t="s">
        <v>19</v>
      </c>
      <c r="D15" t="s">
        <v>36</v>
      </c>
      <c r="E15" t="s">
        <v>37</v>
      </c>
      <c r="F15" s="1">
        <v>46213</v>
      </c>
      <c r="G15" s="2">
        <v>20</v>
      </c>
      <c r="H15" s="2">
        <v>20</v>
      </c>
      <c r="I15" s="2">
        <v>0</v>
      </c>
      <c r="J15" s="2">
        <v>0</v>
      </c>
      <c r="K15" s="2">
        <v>0</v>
      </c>
      <c r="L15" s="4">
        <f t="shared" si="1"/>
        <v>-20</v>
      </c>
      <c r="M15" s="4">
        <f t="shared" si="2"/>
        <v>0</v>
      </c>
      <c r="N15" t="s">
        <v>132</v>
      </c>
      <c r="O15" t="s">
        <v>131</v>
      </c>
      <c r="P15" t="s">
        <v>38</v>
      </c>
      <c r="Q15" t="s">
        <v>103</v>
      </c>
    </row>
    <row r="16" spans="1:17" x14ac:dyDescent="0.25">
      <c r="A16" t="s">
        <v>222</v>
      </c>
      <c r="B16" t="s">
        <v>223</v>
      </c>
      <c r="C16" t="s">
        <v>42</v>
      </c>
      <c r="D16" t="s">
        <v>137</v>
      </c>
      <c r="E16" t="s">
        <v>138</v>
      </c>
      <c r="F16" s="1">
        <v>46213</v>
      </c>
      <c r="G16" s="2">
        <v>10</v>
      </c>
      <c r="H16" s="2">
        <v>0</v>
      </c>
      <c r="I16" s="2">
        <v>0</v>
      </c>
      <c r="J16" s="2">
        <v>0</v>
      </c>
      <c r="K16" s="2">
        <v>0</v>
      </c>
      <c r="L16" s="4">
        <f t="shared" si="1"/>
        <v>0</v>
      </c>
      <c r="M16" s="4">
        <f t="shared" si="2"/>
        <v>0</v>
      </c>
      <c r="N16" t="s">
        <v>331</v>
      </c>
      <c r="O16" t="s">
        <v>362</v>
      </c>
      <c r="P16" t="s">
        <v>38</v>
      </c>
      <c r="Q16" t="s">
        <v>64</v>
      </c>
    </row>
    <row r="17" spans="1:17" x14ac:dyDescent="0.25">
      <c r="A17" t="s">
        <v>219</v>
      </c>
      <c r="B17" t="s">
        <v>220</v>
      </c>
      <c r="C17" t="s">
        <v>42</v>
      </c>
      <c r="D17" t="s">
        <v>137</v>
      </c>
      <c r="E17" t="s">
        <v>138</v>
      </c>
      <c r="F17" s="1">
        <v>46213</v>
      </c>
      <c r="G17" s="2">
        <v>10</v>
      </c>
      <c r="H17" s="2">
        <v>0</v>
      </c>
      <c r="I17" s="2">
        <v>0</v>
      </c>
      <c r="J17" s="2">
        <v>0</v>
      </c>
      <c r="K17" s="2">
        <v>0</v>
      </c>
      <c r="L17" s="4">
        <f t="shared" si="1"/>
        <v>0</v>
      </c>
      <c r="M17" s="4">
        <f t="shared" si="2"/>
        <v>0</v>
      </c>
      <c r="N17" t="s">
        <v>221</v>
      </c>
      <c r="O17" t="s">
        <v>363</v>
      </c>
      <c r="P17" t="s">
        <v>38</v>
      </c>
      <c r="Q17" t="s">
        <v>64</v>
      </c>
    </row>
    <row r="18" spans="1:17" x14ac:dyDescent="0.25">
      <c r="A18" t="s">
        <v>224</v>
      </c>
      <c r="B18" t="s">
        <v>225</v>
      </c>
      <c r="C18" t="s">
        <v>42</v>
      </c>
      <c r="D18" t="s">
        <v>137</v>
      </c>
      <c r="E18" t="s">
        <v>137</v>
      </c>
      <c r="F18" s="1">
        <v>46213</v>
      </c>
      <c r="G18" s="2">
        <v>10</v>
      </c>
      <c r="H18" s="2">
        <v>0</v>
      </c>
      <c r="I18" s="2">
        <v>0</v>
      </c>
      <c r="J18" s="2">
        <v>0</v>
      </c>
      <c r="K18" s="2">
        <v>0</v>
      </c>
      <c r="L18" s="4">
        <f t="shared" si="1"/>
        <v>0</v>
      </c>
      <c r="M18" s="4">
        <f t="shared" si="2"/>
        <v>0</v>
      </c>
      <c r="N18" t="s">
        <v>364</v>
      </c>
      <c r="O18" t="s">
        <v>259</v>
      </c>
      <c r="P18" t="s">
        <v>38</v>
      </c>
      <c r="Q18" t="s">
        <v>38</v>
      </c>
    </row>
    <row r="19" spans="1:17" x14ac:dyDescent="0.25">
      <c r="A19" t="s">
        <v>26</v>
      </c>
      <c r="B19" t="s">
        <v>27</v>
      </c>
      <c r="C19" t="s">
        <v>19</v>
      </c>
      <c r="D19" t="s">
        <v>28</v>
      </c>
      <c r="E19" t="s">
        <v>29</v>
      </c>
      <c r="F19" s="1">
        <v>46213</v>
      </c>
      <c r="G19" s="2">
        <v>20</v>
      </c>
      <c r="H19" s="2">
        <v>20</v>
      </c>
      <c r="I19" s="2">
        <v>0</v>
      </c>
      <c r="J19" s="2">
        <v>0</v>
      </c>
      <c r="K19" s="2">
        <v>0</v>
      </c>
      <c r="L19" s="4">
        <f t="shared" si="1"/>
        <v>-20</v>
      </c>
      <c r="M19" s="4">
        <f t="shared" si="2"/>
        <v>0</v>
      </c>
      <c r="N19" t="s">
        <v>365</v>
      </c>
      <c r="O19" t="s">
        <v>366</v>
      </c>
      <c r="P19" t="s">
        <v>38</v>
      </c>
      <c r="Q19" t="s">
        <v>38</v>
      </c>
    </row>
    <row r="20" spans="1:17" x14ac:dyDescent="0.25">
      <c r="A20" t="s">
        <v>310</v>
      </c>
      <c r="B20" t="s">
        <v>311</v>
      </c>
      <c r="C20" t="s">
        <v>42</v>
      </c>
      <c r="D20" t="s">
        <v>167</v>
      </c>
      <c r="E20" t="s">
        <v>168</v>
      </c>
      <c r="F20" s="1">
        <v>46213</v>
      </c>
      <c r="G20" s="2">
        <v>5</v>
      </c>
      <c r="H20" s="2">
        <v>0</v>
      </c>
      <c r="I20" s="2">
        <v>0</v>
      </c>
      <c r="J20" s="2">
        <v>0</v>
      </c>
      <c r="K20" s="2">
        <v>0</v>
      </c>
      <c r="L20" s="4">
        <f t="shared" si="1"/>
        <v>0</v>
      </c>
      <c r="M20" s="4">
        <f t="shared" si="2"/>
        <v>0</v>
      </c>
      <c r="N20" t="s">
        <v>367</v>
      </c>
      <c r="O20" t="s">
        <v>290</v>
      </c>
      <c r="P20" t="s">
        <v>38</v>
      </c>
    </row>
    <row r="21" spans="1:17" x14ac:dyDescent="0.25">
      <c r="A21" t="s">
        <v>213</v>
      </c>
      <c r="B21" t="s">
        <v>214</v>
      </c>
      <c r="C21" t="s">
        <v>42</v>
      </c>
      <c r="D21" t="s">
        <v>43</v>
      </c>
      <c r="E21" t="s">
        <v>73</v>
      </c>
      <c r="F21" s="1">
        <v>46213</v>
      </c>
      <c r="G21" s="2">
        <v>21</v>
      </c>
      <c r="H21" s="2">
        <v>0</v>
      </c>
      <c r="I21" s="2">
        <v>0</v>
      </c>
      <c r="J21" s="2">
        <v>0</v>
      </c>
      <c r="K21" s="2">
        <v>0</v>
      </c>
      <c r="L21" s="4">
        <f t="shared" si="1"/>
        <v>0</v>
      </c>
      <c r="M21" s="4">
        <f t="shared" si="2"/>
        <v>0</v>
      </c>
      <c r="N21" t="s">
        <v>368</v>
      </c>
      <c r="O21" t="s">
        <v>266</v>
      </c>
      <c r="P21" t="s">
        <v>38</v>
      </c>
      <c r="Q21" t="s">
        <v>22</v>
      </c>
    </row>
    <row r="22" spans="1:17" x14ac:dyDescent="0.25">
      <c r="A22" t="s">
        <v>122</v>
      </c>
      <c r="B22" t="s">
        <v>123</v>
      </c>
      <c r="C22" t="s">
        <v>19</v>
      </c>
      <c r="D22" t="s">
        <v>36</v>
      </c>
      <c r="E22" t="s">
        <v>80</v>
      </c>
      <c r="F22" s="1">
        <v>46213</v>
      </c>
      <c r="G22" s="2">
        <v>20</v>
      </c>
      <c r="H22" s="2">
        <v>0</v>
      </c>
      <c r="I22" s="2">
        <v>0</v>
      </c>
      <c r="J22" s="2">
        <v>0</v>
      </c>
      <c r="K22" s="2">
        <v>0</v>
      </c>
      <c r="L22" s="4">
        <f t="shared" si="1"/>
        <v>0</v>
      </c>
      <c r="M22" s="4">
        <f t="shared" si="2"/>
        <v>0</v>
      </c>
      <c r="N22" t="s">
        <v>369</v>
      </c>
      <c r="O22" t="s">
        <v>124</v>
      </c>
      <c r="P22" t="s">
        <v>38</v>
      </c>
      <c r="Q22" t="s">
        <v>38</v>
      </c>
    </row>
    <row r="23" spans="1:17" x14ac:dyDescent="0.25">
      <c r="A23" t="s">
        <v>143</v>
      </c>
      <c r="B23" t="s">
        <v>144</v>
      </c>
      <c r="C23" t="s">
        <v>42</v>
      </c>
      <c r="D23" t="s">
        <v>137</v>
      </c>
      <c r="E23" t="s">
        <v>138</v>
      </c>
      <c r="F23" s="1">
        <v>46213</v>
      </c>
      <c r="G23" s="2">
        <v>18</v>
      </c>
      <c r="H23" s="2">
        <v>3</v>
      </c>
      <c r="I23" s="2">
        <v>1669</v>
      </c>
      <c r="J23" s="2">
        <v>0</v>
      </c>
      <c r="K23" s="2">
        <v>0</v>
      </c>
      <c r="L23" s="4">
        <f t="shared" si="1"/>
        <v>-3</v>
      </c>
      <c r="M23" s="4">
        <f t="shared" si="2"/>
        <v>-1669</v>
      </c>
      <c r="N23" t="s">
        <v>304</v>
      </c>
      <c r="O23" t="s">
        <v>218</v>
      </c>
      <c r="P23" t="s">
        <v>33</v>
      </c>
      <c r="Q23" t="s">
        <v>153</v>
      </c>
    </row>
    <row r="24" spans="1:17" x14ac:dyDescent="0.25">
      <c r="A24" t="s">
        <v>199</v>
      </c>
      <c r="B24" t="s">
        <v>200</v>
      </c>
      <c r="C24" t="s">
        <v>19</v>
      </c>
      <c r="D24" t="s">
        <v>36</v>
      </c>
      <c r="E24" t="s">
        <v>118</v>
      </c>
      <c r="F24" s="1">
        <v>46213</v>
      </c>
      <c r="G24" s="2">
        <v>20</v>
      </c>
      <c r="H24" s="2">
        <v>0</v>
      </c>
      <c r="I24" s="2">
        <v>0</v>
      </c>
      <c r="J24" s="2">
        <v>0</v>
      </c>
      <c r="K24" s="2">
        <v>0</v>
      </c>
      <c r="L24" s="4">
        <f t="shared" si="1"/>
        <v>0</v>
      </c>
      <c r="M24" s="4">
        <f t="shared" si="2"/>
        <v>0</v>
      </c>
      <c r="N24" t="s">
        <v>22</v>
      </c>
      <c r="O24" t="s">
        <v>22</v>
      </c>
      <c r="P24" t="s">
        <v>38</v>
      </c>
      <c r="Q24" t="s">
        <v>38</v>
      </c>
    </row>
    <row r="25" spans="1:17" x14ac:dyDescent="0.25">
      <c r="A25" t="s">
        <v>146</v>
      </c>
      <c r="B25" t="s">
        <v>147</v>
      </c>
      <c r="C25" t="s">
        <v>42</v>
      </c>
      <c r="D25" t="s">
        <v>43</v>
      </c>
      <c r="E25" t="s">
        <v>73</v>
      </c>
      <c r="F25" s="1">
        <v>46213</v>
      </c>
      <c r="G25" s="2">
        <v>20</v>
      </c>
      <c r="H25" s="2">
        <v>0</v>
      </c>
      <c r="I25" s="2">
        <v>0</v>
      </c>
      <c r="J25" s="2">
        <v>0</v>
      </c>
      <c r="K25" s="2">
        <v>0</v>
      </c>
      <c r="L25" s="4">
        <f t="shared" si="1"/>
        <v>0</v>
      </c>
      <c r="M25" s="4">
        <f t="shared" si="2"/>
        <v>0</v>
      </c>
      <c r="N25" t="s">
        <v>370</v>
      </c>
      <c r="O25" t="s">
        <v>210</v>
      </c>
      <c r="P25" t="s">
        <v>38</v>
      </c>
      <c r="Q25" t="s">
        <v>41</v>
      </c>
    </row>
    <row r="26" spans="1:17" x14ac:dyDescent="0.25">
      <c r="A26" t="s">
        <v>236</v>
      </c>
      <c r="B26" t="s">
        <v>237</v>
      </c>
      <c r="C26" t="s">
        <v>42</v>
      </c>
      <c r="D26" t="s">
        <v>137</v>
      </c>
      <c r="E26" t="s">
        <v>187</v>
      </c>
      <c r="F26" s="1">
        <v>46213</v>
      </c>
      <c r="G26" s="2">
        <v>13</v>
      </c>
      <c r="H26" s="2">
        <v>0</v>
      </c>
      <c r="I26" s="2">
        <v>0</v>
      </c>
      <c r="J26" s="2">
        <v>0</v>
      </c>
      <c r="K26" s="2">
        <v>0</v>
      </c>
      <c r="L26" s="4">
        <f t="shared" si="1"/>
        <v>0</v>
      </c>
      <c r="M26" s="4">
        <f t="shared" si="2"/>
        <v>0</v>
      </c>
      <c r="N26" t="s">
        <v>371</v>
      </c>
      <c r="O26" t="s">
        <v>327</v>
      </c>
      <c r="P26" t="s">
        <v>38</v>
      </c>
      <c r="Q26" t="s">
        <v>30</v>
      </c>
    </row>
    <row r="27" spans="1:17" x14ac:dyDescent="0.25">
      <c r="A27" t="s">
        <v>189</v>
      </c>
      <c r="B27" t="s">
        <v>190</v>
      </c>
      <c r="C27" t="s">
        <v>42</v>
      </c>
      <c r="D27" t="s">
        <v>167</v>
      </c>
      <c r="E27" t="s">
        <v>191</v>
      </c>
      <c r="F27" s="1">
        <v>46213</v>
      </c>
      <c r="G27" s="2">
        <v>52</v>
      </c>
      <c r="H27" s="2">
        <v>5</v>
      </c>
      <c r="I27" s="2">
        <v>7900</v>
      </c>
      <c r="J27" s="2">
        <v>0</v>
      </c>
      <c r="K27" s="2">
        <v>0</v>
      </c>
      <c r="L27" s="4">
        <f t="shared" si="1"/>
        <v>-5</v>
      </c>
      <c r="M27" s="4">
        <f t="shared" si="2"/>
        <v>-7900</v>
      </c>
      <c r="N27" t="s">
        <v>357</v>
      </c>
      <c r="O27" t="s">
        <v>201</v>
      </c>
      <c r="P27" t="s">
        <v>25</v>
      </c>
      <c r="Q27" t="s">
        <v>303</v>
      </c>
    </row>
    <row r="28" spans="1:17" x14ac:dyDescent="0.25">
      <c r="A28" t="s">
        <v>215</v>
      </c>
      <c r="B28" t="s">
        <v>216</v>
      </c>
      <c r="C28" t="s">
        <v>42</v>
      </c>
      <c r="D28" t="s">
        <v>43</v>
      </c>
      <c r="E28" t="s">
        <v>73</v>
      </c>
      <c r="F28" s="1">
        <v>46213</v>
      </c>
      <c r="G28" s="2">
        <v>20</v>
      </c>
      <c r="H28" s="2">
        <v>0</v>
      </c>
      <c r="I28" s="2">
        <v>0</v>
      </c>
      <c r="J28" s="2">
        <v>0</v>
      </c>
      <c r="K28" s="2">
        <v>0</v>
      </c>
      <c r="L28" s="4">
        <f t="shared" si="1"/>
        <v>0</v>
      </c>
      <c r="M28" s="4">
        <f t="shared" si="2"/>
        <v>0</v>
      </c>
      <c r="N28" t="s">
        <v>261</v>
      </c>
      <c r="O28" t="s">
        <v>217</v>
      </c>
      <c r="P28" t="s">
        <v>38</v>
      </c>
      <c r="Q28" t="s">
        <v>41</v>
      </c>
    </row>
    <row r="29" spans="1:17" x14ac:dyDescent="0.25">
      <c r="A29" t="s">
        <v>48</v>
      </c>
      <c r="B29" t="s">
        <v>49</v>
      </c>
      <c r="C29" t="s">
        <v>19</v>
      </c>
      <c r="D29" t="s">
        <v>28</v>
      </c>
      <c r="E29" t="s">
        <v>29</v>
      </c>
      <c r="F29" s="1">
        <v>46213</v>
      </c>
      <c r="G29" s="2">
        <v>20</v>
      </c>
      <c r="H29" s="2">
        <v>0</v>
      </c>
      <c r="I29" s="2">
        <v>0</v>
      </c>
      <c r="J29" s="2">
        <v>0</v>
      </c>
      <c r="K29" s="2">
        <v>0</v>
      </c>
      <c r="L29" s="4">
        <f t="shared" si="1"/>
        <v>0</v>
      </c>
      <c r="M29" s="4">
        <f t="shared" si="2"/>
        <v>0</v>
      </c>
      <c r="N29" t="s">
        <v>372</v>
      </c>
      <c r="O29" t="s">
        <v>373</v>
      </c>
      <c r="P29" t="s">
        <v>38</v>
      </c>
      <c r="Q29" t="s">
        <v>38</v>
      </c>
    </row>
    <row r="30" spans="1:17" x14ac:dyDescent="0.25">
      <c r="A30" t="s">
        <v>239</v>
      </c>
      <c r="B30" t="s">
        <v>240</v>
      </c>
      <c r="C30" t="s">
        <v>42</v>
      </c>
      <c r="D30" t="s">
        <v>137</v>
      </c>
      <c r="E30" t="s">
        <v>187</v>
      </c>
      <c r="F30" s="1">
        <v>46213</v>
      </c>
      <c r="G30" s="2">
        <v>14</v>
      </c>
      <c r="H30" s="2">
        <v>0</v>
      </c>
      <c r="I30" s="2">
        <v>0</v>
      </c>
      <c r="J30" s="2">
        <v>0</v>
      </c>
      <c r="K30" s="2">
        <v>0</v>
      </c>
      <c r="L30" s="4">
        <f t="shared" si="1"/>
        <v>0</v>
      </c>
      <c r="M30" s="4">
        <f t="shared" si="2"/>
        <v>0</v>
      </c>
      <c r="N30" t="s">
        <v>374</v>
      </c>
      <c r="O30" t="s">
        <v>341</v>
      </c>
      <c r="P30" t="s">
        <v>38</v>
      </c>
      <c r="Q30" t="s">
        <v>64</v>
      </c>
    </row>
    <row r="31" spans="1:17" x14ac:dyDescent="0.25">
      <c r="A31" t="s">
        <v>254</v>
      </c>
      <c r="B31" t="s">
        <v>255</v>
      </c>
      <c r="C31" t="s">
        <v>19</v>
      </c>
      <c r="D31" t="s">
        <v>36</v>
      </c>
      <c r="E31" t="s">
        <v>80</v>
      </c>
      <c r="F31" s="1">
        <v>46213</v>
      </c>
      <c r="G31" s="2">
        <v>37</v>
      </c>
      <c r="H31" s="2">
        <v>0</v>
      </c>
      <c r="I31" s="2">
        <v>0</v>
      </c>
      <c r="J31" s="2">
        <v>0</v>
      </c>
      <c r="K31" s="2">
        <v>0</v>
      </c>
      <c r="L31" s="4">
        <f t="shared" si="1"/>
        <v>0</v>
      </c>
      <c r="M31" s="4">
        <f t="shared" si="2"/>
        <v>0</v>
      </c>
      <c r="N31" t="s">
        <v>256</v>
      </c>
      <c r="O31" t="s">
        <v>253</v>
      </c>
      <c r="P31" t="s">
        <v>38</v>
      </c>
      <c r="Q31" t="s">
        <v>38</v>
      </c>
    </row>
    <row r="32" spans="1:17" x14ac:dyDescent="0.25">
      <c r="A32" t="s">
        <v>181</v>
      </c>
      <c r="B32" t="s">
        <v>182</v>
      </c>
      <c r="C32" t="s">
        <v>19</v>
      </c>
      <c r="D32" t="s">
        <v>36</v>
      </c>
      <c r="E32" t="s">
        <v>80</v>
      </c>
      <c r="F32" s="1">
        <v>46213</v>
      </c>
      <c r="G32" s="2">
        <v>20</v>
      </c>
      <c r="H32" s="2">
        <v>2</v>
      </c>
      <c r="I32" s="2">
        <v>4200</v>
      </c>
      <c r="J32" s="2">
        <v>0</v>
      </c>
      <c r="K32" s="2">
        <v>0</v>
      </c>
      <c r="L32" s="4">
        <f t="shared" si="1"/>
        <v>-2</v>
      </c>
      <c r="M32" s="4">
        <f t="shared" si="2"/>
        <v>-4200</v>
      </c>
      <c r="N32" t="s">
        <v>180</v>
      </c>
      <c r="O32" t="s">
        <v>183</v>
      </c>
      <c r="P32" t="s">
        <v>33</v>
      </c>
      <c r="Q32" t="s">
        <v>188</v>
      </c>
    </row>
    <row r="33" spans="1:17" x14ac:dyDescent="0.25">
      <c r="A33" t="s">
        <v>264</v>
      </c>
      <c r="B33" t="s">
        <v>265</v>
      </c>
      <c r="C33" t="s">
        <v>42</v>
      </c>
      <c r="D33" t="s">
        <v>43</v>
      </c>
      <c r="E33" t="s">
        <v>73</v>
      </c>
      <c r="F33" s="1">
        <v>46213</v>
      </c>
      <c r="G33" s="2">
        <v>25</v>
      </c>
      <c r="H33" s="2">
        <v>0</v>
      </c>
      <c r="I33" s="2">
        <v>0</v>
      </c>
      <c r="J33" s="2">
        <v>0</v>
      </c>
      <c r="K33" s="2">
        <v>0</v>
      </c>
      <c r="L33" s="4">
        <f t="shared" si="1"/>
        <v>0</v>
      </c>
      <c r="M33" s="4">
        <f t="shared" si="2"/>
        <v>0</v>
      </c>
      <c r="N33" t="s">
        <v>296</v>
      </c>
      <c r="O33" t="s">
        <v>326</v>
      </c>
      <c r="P33" t="s">
        <v>38</v>
      </c>
      <c r="Q33" t="s">
        <v>38</v>
      </c>
    </row>
    <row r="34" spans="1:17" x14ac:dyDescent="0.25">
      <c r="A34" t="s">
        <v>31</v>
      </c>
      <c r="B34" t="s">
        <v>32</v>
      </c>
      <c r="C34" t="s">
        <v>19</v>
      </c>
      <c r="D34" t="s">
        <v>28</v>
      </c>
      <c r="E34" t="s">
        <v>29</v>
      </c>
      <c r="F34" s="1">
        <v>46213</v>
      </c>
      <c r="G34" s="2">
        <v>20</v>
      </c>
      <c r="H34" s="2">
        <v>0</v>
      </c>
      <c r="I34" s="2">
        <v>0</v>
      </c>
      <c r="J34" s="2">
        <v>0</v>
      </c>
      <c r="K34" s="2">
        <v>0</v>
      </c>
      <c r="L34" s="4">
        <f t="shared" si="1"/>
        <v>0</v>
      </c>
      <c r="M34" s="4">
        <f t="shared" si="2"/>
        <v>0</v>
      </c>
      <c r="N34" t="s">
        <v>375</v>
      </c>
      <c r="O34" t="s">
        <v>238</v>
      </c>
      <c r="P34" t="s">
        <v>38</v>
      </c>
      <c r="Q34" t="s">
        <v>22</v>
      </c>
    </row>
    <row r="35" spans="1:17" x14ac:dyDescent="0.25">
      <c r="A35" t="s">
        <v>185</v>
      </c>
      <c r="B35" t="s">
        <v>186</v>
      </c>
      <c r="C35" t="s">
        <v>42</v>
      </c>
      <c r="D35" t="s">
        <v>137</v>
      </c>
      <c r="E35" t="s">
        <v>187</v>
      </c>
      <c r="F35" s="1">
        <v>46213</v>
      </c>
      <c r="G35" s="2">
        <v>25</v>
      </c>
      <c r="H35" s="2">
        <v>16</v>
      </c>
      <c r="I35" s="2">
        <v>23728</v>
      </c>
      <c r="J35" s="2">
        <v>1</v>
      </c>
      <c r="K35" s="2">
        <v>1354</v>
      </c>
      <c r="L35" s="4">
        <f t="shared" si="1"/>
        <v>-15</v>
      </c>
      <c r="M35" s="4">
        <f t="shared" si="2"/>
        <v>-22374</v>
      </c>
      <c r="N35" t="s">
        <v>342</v>
      </c>
      <c r="O35" t="s">
        <v>184</v>
      </c>
      <c r="P35" t="s">
        <v>38</v>
      </c>
      <c r="Q35" t="s">
        <v>376</v>
      </c>
    </row>
    <row r="36" spans="1:17" x14ac:dyDescent="0.25">
      <c r="A36" t="s">
        <v>45</v>
      </c>
      <c r="B36" t="s">
        <v>46</v>
      </c>
      <c r="C36" t="s">
        <v>19</v>
      </c>
      <c r="D36" t="s">
        <v>28</v>
      </c>
      <c r="E36" t="s">
        <v>29</v>
      </c>
      <c r="F36" s="1">
        <v>46213</v>
      </c>
      <c r="G36" s="2">
        <v>18</v>
      </c>
      <c r="H36" s="2">
        <v>0</v>
      </c>
      <c r="I36" s="2">
        <v>0</v>
      </c>
      <c r="J36" s="2">
        <v>0</v>
      </c>
      <c r="K36" s="2">
        <v>0</v>
      </c>
      <c r="L36" s="4">
        <f t="shared" si="1"/>
        <v>0</v>
      </c>
      <c r="M36" s="4">
        <f t="shared" si="2"/>
        <v>0</v>
      </c>
      <c r="N36" t="s">
        <v>377</v>
      </c>
      <c r="O36" t="s">
        <v>47</v>
      </c>
      <c r="P36" t="s">
        <v>38</v>
      </c>
      <c r="Q36" t="s">
        <v>38</v>
      </c>
    </row>
    <row r="37" spans="1:17" x14ac:dyDescent="0.25">
      <c r="A37" t="s">
        <v>338</v>
      </c>
      <c r="B37" t="s">
        <v>339</v>
      </c>
      <c r="C37" t="s">
        <v>42</v>
      </c>
      <c r="D37" t="s">
        <v>43</v>
      </c>
      <c r="E37" t="s">
        <v>44</v>
      </c>
      <c r="F37" s="1">
        <v>46213</v>
      </c>
      <c r="G37" s="2">
        <v>13</v>
      </c>
      <c r="H37" s="2">
        <v>0</v>
      </c>
      <c r="I37" s="2">
        <v>0</v>
      </c>
      <c r="J37" s="2">
        <v>0</v>
      </c>
      <c r="K37" s="2">
        <v>0</v>
      </c>
      <c r="L37" s="4">
        <f t="shared" si="1"/>
        <v>0</v>
      </c>
      <c r="M37" s="4">
        <f t="shared" si="2"/>
        <v>0</v>
      </c>
      <c r="N37" t="s">
        <v>378</v>
      </c>
      <c r="O37" t="s">
        <v>59</v>
      </c>
      <c r="P37" t="s">
        <v>38</v>
      </c>
      <c r="Q37" t="s">
        <v>351</v>
      </c>
    </row>
    <row r="38" spans="1:17" x14ac:dyDescent="0.25">
      <c r="A38" t="s">
        <v>150</v>
      </c>
      <c r="B38" t="s">
        <v>151</v>
      </c>
      <c r="C38" t="s">
        <v>19</v>
      </c>
      <c r="D38" t="s">
        <v>20</v>
      </c>
      <c r="E38" t="s">
        <v>21</v>
      </c>
      <c r="F38" s="1">
        <v>46213</v>
      </c>
      <c r="G38" s="2">
        <v>20</v>
      </c>
      <c r="H38" s="2">
        <v>1</v>
      </c>
      <c r="I38" s="2">
        <v>2495.88</v>
      </c>
      <c r="J38" s="2">
        <v>0</v>
      </c>
      <c r="K38" s="2">
        <v>0</v>
      </c>
      <c r="L38" s="4">
        <f t="shared" si="1"/>
        <v>-1</v>
      </c>
      <c r="M38" s="4">
        <f t="shared" si="2"/>
        <v>-2495.88</v>
      </c>
      <c r="N38" t="s">
        <v>154</v>
      </c>
      <c r="O38" t="s">
        <v>152</v>
      </c>
      <c r="P38" t="s">
        <v>33</v>
      </c>
      <c r="Q38" t="s">
        <v>153</v>
      </c>
    </row>
    <row r="39" spans="1:17" x14ac:dyDescent="0.25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s="1">
        <v>46213</v>
      </c>
      <c r="G39" s="2">
        <v>18</v>
      </c>
      <c r="H39" s="2">
        <v>0</v>
      </c>
      <c r="I39" s="2">
        <v>0</v>
      </c>
      <c r="J39" s="2">
        <v>0</v>
      </c>
      <c r="K39" s="2">
        <v>0</v>
      </c>
      <c r="L39" s="4">
        <f t="shared" si="1"/>
        <v>0</v>
      </c>
      <c r="M39" s="4">
        <f t="shared" si="2"/>
        <v>0</v>
      </c>
      <c r="N39" t="s">
        <v>23</v>
      </c>
      <c r="O39" t="s">
        <v>24</v>
      </c>
      <c r="P39" t="s">
        <v>38</v>
      </c>
      <c r="Q39" t="s">
        <v>379</v>
      </c>
    </row>
    <row r="40" spans="1:17" x14ac:dyDescent="0.25">
      <c r="A40" t="s">
        <v>101</v>
      </c>
      <c r="B40" t="s">
        <v>102</v>
      </c>
      <c r="C40" t="s">
        <v>19</v>
      </c>
      <c r="D40" t="s">
        <v>36</v>
      </c>
      <c r="E40" t="s">
        <v>80</v>
      </c>
      <c r="F40" s="1">
        <v>46213</v>
      </c>
      <c r="G40" s="2">
        <v>20</v>
      </c>
      <c r="H40" s="2">
        <v>1</v>
      </c>
      <c r="I40" s="2">
        <v>1922</v>
      </c>
      <c r="J40" s="2">
        <v>0</v>
      </c>
      <c r="K40" s="2">
        <v>0</v>
      </c>
      <c r="L40" s="4">
        <f t="shared" si="1"/>
        <v>-1</v>
      </c>
      <c r="M40" s="4">
        <f t="shared" si="2"/>
        <v>-1922</v>
      </c>
      <c r="N40" t="s">
        <v>302</v>
      </c>
      <c r="O40" t="s">
        <v>59</v>
      </c>
      <c r="P40" t="s">
        <v>33</v>
      </c>
    </row>
    <row r="41" spans="1:17" x14ac:dyDescent="0.25">
      <c r="A41" t="s">
        <v>139</v>
      </c>
      <c r="B41" t="s">
        <v>140</v>
      </c>
      <c r="C41" t="s">
        <v>19</v>
      </c>
      <c r="D41" t="s">
        <v>20</v>
      </c>
      <c r="E41" t="s">
        <v>433</v>
      </c>
      <c r="F41" s="1">
        <v>46213</v>
      </c>
      <c r="G41" s="2">
        <v>20</v>
      </c>
      <c r="H41" s="2">
        <v>0</v>
      </c>
      <c r="I41" s="2">
        <v>0</v>
      </c>
      <c r="J41" s="2">
        <v>0</v>
      </c>
      <c r="K41" s="2">
        <v>0</v>
      </c>
      <c r="L41" s="4">
        <f t="shared" si="1"/>
        <v>0</v>
      </c>
      <c r="M41" s="4">
        <f t="shared" si="2"/>
        <v>0</v>
      </c>
      <c r="N41" t="s">
        <v>141</v>
      </c>
      <c r="O41" t="s">
        <v>142</v>
      </c>
      <c r="P41" t="s">
        <v>38</v>
      </c>
      <c r="Q41" t="s">
        <v>38</v>
      </c>
    </row>
    <row r="42" spans="1:17" x14ac:dyDescent="0.25">
      <c r="A42" t="s">
        <v>52</v>
      </c>
      <c r="B42" t="s">
        <v>53</v>
      </c>
      <c r="C42" t="s">
        <v>19</v>
      </c>
      <c r="D42" t="s">
        <v>28</v>
      </c>
      <c r="E42" t="s">
        <v>29</v>
      </c>
      <c r="F42" s="1">
        <v>46213</v>
      </c>
      <c r="G42" s="2">
        <v>20</v>
      </c>
      <c r="H42" s="2">
        <v>1</v>
      </c>
      <c r="I42" s="2">
        <v>2635</v>
      </c>
      <c r="J42" s="2">
        <v>0</v>
      </c>
      <c r="K42" s="2">
        <v>0</v>
      </c>
      <c r="L42" s="4">
        <f t="shared" si="1"/>
        <v>-1</v>
      </c>
      <c r="M42" s="4">
        <f t="shared" si="2"/>
        <v>-2635</v>
      </c>
      <c r="N42" t="s">
        <v>334</v>
      </c>
      <c r="O42" t="s">
        <v>299</v>
      </c>
      <c r="P42" t="s">
        <v>33</v>
      </c>
      <c r="Q42" t="s">
        <v>300</v>
      </c>
    </row>
    <row r="43" spans="1:17" x14ac:dyDescent="0.25">
      <c r="A43" t="s">
        <v>54</v>
      </c>
      <c r="B43" t="s">
        <v>55</v>
      </c>
      <c r="C43" t="s">
        <v>19</v>
      </c>
      <c r="D43" t="s">
        <v>28</v>
      </c>
      <c r="E43" t="s">
        <v>29</v>
      </c>
      <c r="F43" s="1">
        <v>46213</v>
      </c>
      <c r="G43" s="2">
        <v>35</v>
      </c>
      <c r="H43" s="2">
        <v>3</v>
      </c>
      <c r="I43" s="2">
        <v>8943</v>
      </c>
      <c r="J43" s="2">
        <v>0</v>
      </c>
      <c r="K43" s="2">
        <v>0</v>
      </c>
      <c r="L43" s="4">
        <f t="shared" si="1"/>
        <v>-3</v>
      </c>
      <c r="M43" s="4">
        <f t="shared" si="2"/>
        <v>-8943</v>
      </c>
      <c r="N43" t="s">
        <v>56</v>
      </c>
      <c r="O43" t="s">
        <v>244</v>
      </c>
      <c r="P43" t="s">
        <v>25</v>
      </c>
    </row>
    <row r="44" spans="1:17" x14ac:dyDescent="0.25">
      <c r="A44" t="s">
        <v>110</v>
      </c>
      <c r="B44" t="s">
        <v>111</v>
      </c>
      <c r="C44" t="s">
        <v>19</v>
      </c>
      <c r="D44" t="s">
        <v>36</v>
      </c>
      <c r="E44" t="s">
        <v>80</v>
      </c>
      <c r="F44" s="1">
        <v>46213</v>
      </c>
      <c r="G44" s="2">
        <v>20</v>
      </c>
      <c r="H44" s="2">
        <v>0</v>
      </c>
      <c r="I44" s="2">
        <v>0</v>
      </c>
      <c r="J44" s="2">
        <v>0</v>
      </c>
      <c r="K44" s="2">
        <v>0</v>
      </c>
      <c r="L44" s="4">
        <f t="shared" si="1"/>
        <v>0</v>
      </c>
      <c r="M44" s="4">
        <f t="shared" si="2"/>
        <v>0</v>
      </c>
      <c r="N44" t="s">
        <v>333</v>
      </c>
      <c r="O44" t="s">
        <v>112</v>
      </c>
      <c r="P44" t="s">
        <v>25</v>
      </c>
      <c r="Q44" t="s">
        <v>41</v>
      </c>
    </row>
    <row r="45" spans="1:17" x14ac:dyDescent="0.25">
      <c r="A45" t="s">
        <v>211</v>
      </c>
      <c r="B45" t="s">
        <v>212</v>
      </c>
      <c r="C45" t="s">
        <v>42</v>
      </c>
      <c r="D45" t="s">
        <v>137</v>
      </c>
      <c r="E45" t="s">
        <v>187</v>
      </c>
      <c r="F45" s="1">
        <v>46213</v>
      </c>
      <c r="G45" s="2">
        <v>14</v>
      </c>
      <c r="H45" s="2">
        <v>3</v>
      </c>
      <c r="I45" s="2">
        <v>4950</v>
      </c>
      <c r="J45" s="2">
        <v>0</v>
      </c>
      <c r="K45" s="2">
        <v>0</v>
      </c>
      <c r="L45" s="4">
        <f t="shared" si="1"/>
        <v>-3</v>
      </c>
      <c r="M45" s="4">
        <f t="shared" si="2"/>
        <v>-4950</v>
      </c>
      <c r="N45" t="s">
        <v>380</v>
      </c>
      <c r="O45" t="s">
        <v>258</v>
      </c>
      <c r="P45" t="s">
        <v>33</v>
      </c>
      <c r="Q45" t="s">
        <v>381</v>
      </c>
    </row>
    <row r="46" spans="1:17" x14ac:dyDescent="0.25">
      <c r="A46" t="s">
        <v>193</v>
      </c>
      <c r="B46" t="s">
        <v>194</v>
      </c>
      <c r="C46" t="s">
        <v>42</v>
      </c>
      <c r="D46" t="s">
        <v>167</v>
      </c>
      <c r="E46" t="s">
        <v>167</v>
      </c>
      <c r="F46" s="1">
        <v>46213</v>
      </c>
      <c r="G46" s="2">
        <v>26</v>
      </c>
      <c r="H46" s="2">
        <v>12</v>
      </c>
      <c r="I46" s="2">
        <v>20005</v>
      </c>
      <c r="J46" s="2">
        <v>4</v>
      </c>
      <c r="K46" s="2">
        <v>2676</v>
      </c>
      <c r="L46" s="4">
        <f t="shared" si="1"/>
        <v>-8</v>
      </c>
      <c r="M46" s="4">
        <f t="shared" si="2"/>
        <v>-17329</v>
      </c>
      <c r="N46" t="s">
        <v>294</v>
      </c>
      <c r="O46" t="s">
        <v>382</v>
      </c>
      <c r="P46" t="s">
        <v>33</v>
      </c>
      <c r="Q46" t="s">
        <v>383</v>
      </c>
    </row>
    <row r="47" spans="1:17" x14ac:dyDescent="0.25">
      <c r="A47" t="s">
        <v>288</v>
      </c>
      <c r="B47" t="s">
        <v>289</v>
      </c>
      <c r="C47" t="s">
        <v>42</v>
      </c>
      <c r="D47" t="s">
        <v>43</v>
      </c>
      <c r="E47" t="s">
        <v>98</v>
      </c>
      <c r="F47" s="1">
        <v>46213</v>
      </c>
      <c r="G47" s="2">
        <v>22</v>
      </c>
      <c r="H47" s="2">
        <v>0</v>
      </c>
      <c r="I47" s="2">
        <v>0</v>
      </c>
      <c r="J47" s="2">
        <v>0</v>
      </c>
      <c r="K47" s="2">
        <v>0</v>
      </c>
      <c r="L47" s="4">
        <f t="shared" si="1"/>
        <v>0</v>
      </c>
      <c r="M47" s="4">
        <f t="shared" si="2"/>
        <v>0</v>
      </c>
      <c r="N47" t="s">
        <v>347</v>
      </c>
      <c r="O47" t="s">
        <v>312</v>
      </c>
      <c r="P47" t="s">
        <v>25</v>
      </c>
      <c r="Q47" t="s">
        <v>384</v>
      </c>
    </row>
    <row r="48" spans="1:17" x14ac:dyDescent="0.25">
      <c r="A48" t="s">
        <v>71</v>
      </c>
      <c r="B48" t="s">
        <v>72</v>
      </c>
      <c r="C48" t="s">
        <v>42</v>
      </c>
      <c r="D48" t="s">
        <v>43</v>
      </c>
      <c r="E48" t="s">
        <v>73</v>
      </c>
      <c r="F48" s="1">
        <v>46213</v>
      </c>
      <c r="G48" s="2">
        <v>20</v>
      </c>
      <c r="H48" s="2">
        <v>0</v>
      </c>
      <c r="I48" s="2">
        <v>0</v>
      </c>
      <c r="J48" s="2">
        <v>0</v>
      </c>
      <c r="K48" s="2">
        <v>0</v>
      </c>
      <c r="L48" s="4">
        <f t="shared" si="1"/>
        <v>0</v>
      </c>
      <c r="M48" s="4">
        <f t="shared" si="2"/>
        <v>0</v>
      </c>
      <c r="N48" t="s">
        <v>352</v>
      </c>
      <c r="O48" t="s">
        <v>385</v>
      </c>
      <c r="P48" t="s">
        <v>38</v>
      </c>
      <c r="Q48" t="s">
        <v>22</v>
      </c>
    </row>
    <row r="49" spans="1:17" x14ac:dyDescent="0.25">
      <c r="A49" t="s">
        <v>31</v>
      </c>
      <c r="B49" t="s">
        <v>32</v>
      </c>
      <c r="C49" t="s">
        <v>19</v>
      </c>
      <c r="D49" t="s">
        <v>28</v>
      </c>
      <c r="E49" t="s">
        <v>29</v>
      </c>
      <c r="F49" s="1">
        <v>46213</v>
      </c>
      <c r="G49" s="2">
        <v>20</v>
      </c>
      <c r="H49" s="2">
        <v>5</v>
      </c>
      <c r="I49" s="2">
        <v>15250</v>
      </c>
      <c r="J49" s="2">
        <v>0</v>
      </c>
      <c r="K49" s="2">
        <v>0</v>
      </c>
      <c r="L49" s="4">
        <f t="shared" si="1"/>
        <v>-5</v>
      </c>
      <c r="M49" s="4">
        <f t="shared" si="2"/>
        <v>-15250</v>
      </c>
      <c r="N49" t="s">
        <v>386</v>
      </c>
      <c r="O49" t="s">
        <v>245</v>
      </c>
      <c r="P49" t="s">
        <v>33</v>
      </c>
      <c r="Q49" t="s">
        <v>387</v>
      </c>
    </row>
    <row r="50" spans="1:17" x14ac:dyDescent="0.25">
      <c r="A50" t="s">
        <v>68</v>
      </c>
      <c r="B50" t="s">
        <v>69</v>
      </c>
      <c r="C50" t="s">
        <v>19</v>
      </c>
      <c r="D50" t="s">
        <v>20</v>
      </c>
      <c r="E50" t="s">
        <v>20</v>
      </c>
      <c r="F50" s="1">
        <v>46213</v>
      </c>
      <c r="G50" s="2">
        <v>20</v>
      </c>
      <c r="H50" s="2">
        <v>0</v>
      </c>
      <c r="I50" s="2">
        <v>0</v>
      </c>
      <c r="J50" s="2">
        <v>0</v>
      </c>
      <c r="K50" s="2">
        <v>0</v>
      </c>
      <c r="L50" s="4">
        <f t="shared" si="1"/>
        <v>0</v>
      </c>
      <c r="M50" s="4">
        <f t="shared" si="2"/>
        <v>0</v>
      </c>
      <c r="N50" t="s">
        <v>163</v>
      </c>
      <c r="O50" t="s">
        <v>70</v>
      </c>
      <c r="P50" t="s">
        <v>38</v>
      </c>
      <c r="Q50" t="s">
        <v>38</v>
      </c>
    </row>
    <row r="51" spans="1:17" x14ac:dyDescent="0.25">
      <c r="A51" t="s">
        <v>74</v>
      </c>
      <c r="B51" t="s">
        <v>75</v>
      </c>
      <c r="C51" t="s">
        <v>19</v>
      </c>
      <c r="D51" t="s">
        <v>36</v>
      </c>
      <c r="E51" t="s">
        <v>76</v>
      </c>
      <c r="F51" s="1">
        <v>46213</v>
      </c>
      <c r="G51" s="2">
        <v>20</v>
      </c>
      <c r="H51" s="2">
        <v>0</v>
      </c>
      <c r="I51" s="2">
        <v>0</v>
      </c>
      <c r="J51" s="2">
        <v>0</v>
      </c>
      <c r="K51" s="2">
        <v>0</v>
      </c>
      <c r="L51" s="4">
        <f t="shared" si="1"/>
        <v>0</v>
      </c>
      <c r="M51" s="4">
        <f t="shared" si="2"/>
        <v>0</v>
      </c>
      <c r="N51" t="s">
        <v>388</v>
      </c>
      <c r="O51" t="s">
        <v>388</v>
      </c>
      <c r="P51" t="s">
        <v>38</v>
      </c>
    </row>
    <row r="52" spans="1:17" x14ac:dyDescent="0.25">
      <c r="A52" t="s">
        <v>60</v>
      </c>
      <c r="B52" t="s">
        <v>61</v>
      </c>
      <c r="C52" t="s">
        <v>19</v>
      </c>
      <c r="D52" t="s">
        <v>36</v>
      </c>
      <c r="E52" t="s">
        <v>37</v>
      </c>
      <c r="F52" s="1">
        <v>46213</v>
      </c>
      <c r="G52" s="2">
        <v>20</v>
      </c>
      <c r="H52" s="2">
        <v>0</v>
      </c>
      <c r="I52" s="2">
        <v>0</v>
      </c>
      <c r="J52" s="2">
        <v>0</v>
      </c>
      <c r="K52" s="2">
        <v>0</v>
      </c>
      <c r="L52" s="4">
        <f t="shared" si="1"/>
        <v>0</v>
      </c>
      <c r="M52" s="4">
        <f t="shared" si="2"/>
        <v>0</v>
      </c>
      <c r="N52" t="s">
        <v>62</v>
      </c>
      <c r="O52" t="s">
        <v>63</v>
      </c>
      <c r="P52" t="s">
        <v>38</v>
      </c>
      <c r="Q52" t="s">
        <v>22</v>
      </c>
    </row>
    <row r="53" spans="1:17" x14ac:dyDescent="0.25">
      <c r="A53" t="s">
        <v>283</v>
      </c>
      <c r="B53" t="s">
        <v>284</v>
      </c>
      <c r="C53" t="s">
        <v>42</v>
      </c>
      <c r="D53" t="s">
        <v>43</v>
      </c>
      <c r="E53" t="s">
        <v>98</v>
      </c>
      <c r="F53" s="1">
        <v>46213</v>
      </c>
      <c r="G53" s="2">
        <v>20</v>
      </c>
      <c r="H53" s="2">
        <v>0</v>
      </c>
      <c r="I53" s="2">
        <v>0</v>
      </c>
      <c r="J53" s="2">
        <v>0</v>
      </c>
      <c r="K53" s="2">
        <v>0</v>
      </c>
      <c r="L53" s="4">
        <f t="shared" si="1"/>
        <v>0</v>
      </c>
      <c r="M53" s="4">
        <f t="shared" si="2"/>
        <v>0</v>
      </c>
      <c r="N53" t="s">
        <v>329</v>
      </c>
      <c r="O53" t="s">
        <v>329</v>
      </c>
      <c r="P53" t="s">
        <v>25</v>
      </c>
      <c r="Q53" t="s">
        <v>285</v>
      </c>
    </row>
    <row r="54" spans="1:17" x14ac:dyDescent="0.25">
      <c r="A54" t="s">
        <v>226</v>
      </c>
      <c r="B54" t="s">
        <v>227</v>
      </c>
      <c r="C54" t="s">
        <v>42</v>
      </c>
      <c r="D54" t="s">
        <v>137</v>
      </c>
      <c r="E54" t="s">
        <v>137</v>
      </c>
      <c r="F54" s="1">
        <v>46213</v>
      </c>
      <c r="G54" s="2">
        <v>25</v>
      </c>
      <c r="H54" s="2">
        <v>0</v>
      </c>
      <c r="I54" s="2">
        <v>0</v>
      </c>
      <c r="J54" s="2">
        <v>0</v>
      </c>
      <c r="K54" s="2">
        <v>0</v>
      </c>
      <c r="L54" s="4">
        <f t="shared" si="1"/>
        <v>0</v>
      </c>
      <c r="M54" s="4">
        <f t="shared" si="2"/>
        <v>0</v>
      </c>
      <c r="N54" t="s">
        <v>228</v>
      </c>
      <c r="O54" t="s">
        <v>389</v>
      </c>
      <c r="P54" t="s">
        <v>38</v>
      </c>
      <c r="Q54" t="s">
        <v>22</v>
      </c>
    </row>
    <row r="55" spans="1:17" x14ac:dyDescent="0.25">
      <c r="A55" t="s">
        <v>195</v>
      </c>
      <c r="B55" t="s">
        <v>196</v>
      </c>
      <c r="C55" t="s">
        <v>42</v>
      </c>
      <c r="D55" t="s">
        <v>167</v>
      </c>
      <c r="E55" t="s">
        <v>191</v>
      </c>
      <c r="F55" s="1">
        <v>46213</v>
      </c>
      <c r="G55" s="2">
        <v>13</v>
      </c>
      <c r="H55" s="2">
        <v>0</v>
      </c>
      <c r="I55" s="2">
        <v>0</v>
      </c>
      <c r="J55" s="2">
        <v>0</v>
      </c>
      <c r="K55" s="2">
        <v>0</v>
      </c>
      <c r="L55" s="4">
        <f t="shared" si="1"/>
        <v>0</v>
      </c>
      <c r="M55" s="4">
        <f t="shared" si="2"/>
        <v>0</v>
      </c>
      <c r="N55" t="s">
        <v>228</v>
      </c>
      <c r="O55" t="s">
        <v>159</v>
      </c>
      <c r="P55" t="s">
        <v>38</v>
      </c>
      <c r="Q55" t="s">
        <v>38</v>
      </c>
    </row>
    <row r="56" spans="1:17" x14ac:dyDescent="0.25">
      <c r="A56" t="s">
        <v>286</v>
      </c>
      <c r="B56" t="s">
        <v>295</v>
      </c>
      <c r="C56" t="s">
        <v>19</v>
      </c>
      <c r="D56" t="s">
        <v>36</v>
      </c>
      <c r="E56" t="s">
        <v>80</v>
      </c>
      <c r="F56" s="1">
        <v>46213</v>
      </c>
      <c r="G56" s="2">
        <v>20</v>
      </c>
      <c r="H56" s="2">
        <v>0</v>
      </c>
      <c r="I56" s="2">
        <v>0</v>
      </c>
      <c r="J56" s="2">
        <v>0</v>
      </c>
      <c r="K56" s="2">
        <v>0</v>
      </c>
      <c r="L56" s="4">
        <f t="shared" si="1"/>
        <v>0</v>
      </c>
      <c r="M56" s="4">
        <f t="shared" si="2"/>
        <v>0</v>
      </c>
      <c r="N56" t="s">
        <v>330</v>
      </c>
      <c r="O56" t="s">
        <v>390</v>
      </c>
      <c r="P56" t="s">
        <v>38</v>
      </c>
      <c r="Q56" t="s">
        <v>22</v>
      </c>
    </row>
    <row r="57" spans="1:17" x14ac:dyDescent="0.25">
      <c r="A57" t="s">
        <v>107</v>
      </c>
      <c r="B57" t="s">
        <v>108</v>
      </c>
      <c r="C57" t="s">
        <v>19</v>
      </c>
      <c r="D57" t="s">
        <v>20</v>
      </c>
      <c r="E57" t="s">
        <v>21</v>
      </c>
      <c r="F57" s="1">
        <v>46213</v>
      </c>
      <c r="G57" s="2">
        <v>20</v>
      </c>
      <c r="H57" s="2">
        <v>0</v>
      </c>
      <c r="I57" s="2">
        <v>0</v>
      </c>
      <c r="J57" s="2">
        <v>0</v>
      </c>
      <c r="K57" s="2">
        <v>0</v>
      </c>
      <c r="L57" s="4">
        <f t="shared" si="1"/>
        <v>0</v>
      </c>
      <c r="M57" s="4">
        <f t="shared" si="2"/>
        <v>0</v>
      </c>
      <c r="N57" t="s">
        <v>391</v>
      </c>
      <c r="O57" t="s">
        <v>109</v>
      </c>
      <c r="P57" t="s">
        <v>38</v>
      </c>
      <c r="Q57" t="s">
        <v>38</v>
      </c>
    </row>
    <row r="58" spans="1:17" x14ac:dyDescent="0.25">
      <c r="A58" t="s">
        <v>315</v>
      </c>
      <c r="B58" t="s">
        <v>316</v>
      </c>
      <c r="C58" t="s">
        <v>42</v>
      </c>
      <c r="D58" t="s">
        <v>43</v>
      </c>
      <c r="E58" t="s">
        <v>44</v>
      </c>
      <c r="F58" s="1">
        <v>46213</v>
      </c>
      <c r="G58" s="2">
        <v>20</v>
      </c>
      <c r="H58" s="2">
        <v>1</v>
      </c>
      <c r="I58" s="2">
        <v>4414</v>
      </c>
      <c r="J58" s="2">
        <v>0</v>
      </c>
      <c r="K58" s="2">
        <v>0</v>
      </c>
      <c r="L58" s="4">
        <f t="shared" si="1"/>
        <v>-1</v>
      </c>
      <c r="M58" s="4">
        <f t="shared" si="2"/>
        <v>-4414</v>
      </c>
      <c r="N58" t="s">
        <v>392</v>
      </c>
      <c r="O58" t="s">
        <v>59</v>
      </c>
      <c r="P58" t="s">
        <v>25</v>
      </c>
      <c r="Q58" t="s">
        <v>393</v>
      </c>
    </row>
    <row r="59" spans="1:17" x14ac:dyDescent="0.25">
      <c r="A59" t="s">
        <v>291</v>
      </c>
      <c r="B59" t="s">
        <v>292</v>
      </c>
      <c r="C59" t="s">
        <v>19</v>
      </c>
      <c r="D59" t="s">
        <v>36</v>
      </c>
      <c r="E59" t="s">
        <v>80</v>
      </c>
      <c r="F59" s="1">
        <v>46213</v>
      </c>
      <c r="G59" s="2">
        <v>20</v>
      </c>
      <c r="H59" s="2">
        <v>0</v>
      </c>
      <c r="I59" s="2">
        <v>0</v>
      </c>
      <c r="J59" s="2">
        <v>0</v>
      </c>
      <c r="K59" s="2">
        <v>0</v>
      </c>
      <c r="L59" s="4">
        <f t="shared" si="1"/>
        <v>0</v>
      </c>
      <c r="M59" s="4">
        <f t="shared" si="2"/>
        <v>0</v>
      </c>
      <c r="N59" t="s">
        <v>269</v>
      </c>
      <c r="O59" t="s">
        <v>293</v>
      </c>
      <c r="P59" t="s">
        <v>38</v>
      </c>
    </row>
    <row r="60" spans="1:17" x14ac:dyDescent="0.25">
      <c r="A60" t="s">
        <v>135</v>
      </c>
      <c r="B60" t="s">
        <v>136</v>
      </c>
      <c r="C60" t="s">
        <v>42</v>
      </c>
      <c r="D60" t="s">
        <v>137</v>
      </c>
      <c r="E60" t="s">
        <v>138</v>
      </c>
      <c r="F60" s="1">
        <v>46213</v>
      </c>
      <c r="G60" s="2">
        <v>13</v>
      </c>
      <c r="H60" s="2">
        <v>0</v>
      </c>
      <c r="I60" s="2">
        <v>0</v>
      </c>
      <c r="J60" s="2">
        <v>0</v>
      </c>
      <c r="K60" s="2">
        <v>0</v>
      </c>
      <c r="L60" s="4">
        <f t="shared" si="1"/>
        <v>0</v>
      </c>
      <c r="M60" s="4">
        <f t="shared" si="2"/>
        <v>0</v>
      </c>
      <c r="N60" t="s">
        <v>229</v>
      </c>
      <c r="O60" t="s">
        <v>260</v>
      </c>
      <c r="P60" t="s">
        <v>38</v>
      </c>
      <c r="Q60" t="s">
        <v>22</v>
      </c>
    </row>
    <row r="61" spans="1:17" x14ac:dyDescent="0.25">
      <c r="A61" t="s">
        <v>155</v>
      </c>
      <c r="B61" t="s">
        <v>156</v>
      </c>
      <c r="C61" t="s">
        <v>19</v>
      </c>
      <c r="D61" t="s">
        <v>36</v>
      </c>
      <c r="E61" t="s">
        <v>37</v>
      </c>
      <c r="F61" s="1">
        <v>46213</v>
      </c>
      <c r="G61" s="2">
        <v>20</v>
      </c>
      <c r="H61" s="2">
        <v>0</v>
      </c>
      <c r="I61" s="2">
        <v>0</v>
      </c>
      <c r="J61" s="2">
        <v>0</v>
      </c>
      <c r="K61" s="2">
        <v>0</v>
      </c>
      <c r="L61" s="4">
        <f t="shared" si="1"/>
        <v>0</v>
      </c>
      <c r="M61" s="4">
        <f t="shared" si="2"/>
        <v>0</v>
      </c>
      <c r="N61" t="s">
        <v>394</v>
      </c>
      <c r="O61" t="s">
        <v>157</v>
      </c>
      <c r="P61" t="s">
        <v>38</v>
      </c>
    </row>
    <row r="62" spans="1:17" x14ac:dyDescent="0.25">
      <c r="A62" t="s">
        <v>230</v>
      </c>
      <c r="B62" t="s">
        <v>231</v>
      </c>
      <c r="C62" t="s">
        <v>42</v>
      </c>
      <c r="D62" t="s">
        <v>167</v>
      </c>
      <c r="E62" t="s">
        <v>191</v>
      </c>
      <c r="F62" s="1">
        <v>46213</v>
      </c>
      <c r="G62" s="2">
        <v>20</v>
      </c>
      <c r="H62" s="2">
        <v>2</v>
      </c>
      <c r="I62" s="2">
        <v>3980.84</v>
      </c>
      <c r="J62" s="2">
        <v>0</v>
      </c>
      <c r="K62" s="2">
        <v>0</v>
      </c>
      <c r="L62" s="4">
        <f t="shared" si="1"/>
        <v>-2</v>
      </c>
      <c r="M62" s="4">
        <f t="shared" si="2"/>
        <v>-3980.84</v>
      </c>
      <c r="N62" t="s">
        <v>395</v>
      </c>
      <c r="O62" t="s">
        <v>396</v>
      </c>
      <c r="P62" t="s">
        <v>38</v>
      </c>
    </row>
    <row r="63" spans="1:17" x14ac:dyDescent="0.25">
      <c r="A63" t="s">
        <v>165</v>
      </c>
      <c r="B63" t="s">
        <v>166</v>
      </c>
      <c r="C63" t="s">
        <v>42</v>
      </c>
      <c r="D63" t="s">
        <v>167</v>
      </c>
      <c r="E63" t="s">
        <v>168</v>
      </c>
      <c r="F63" s="1">
        <v>46213</v>
      </c>
      <c r="G63" s="2">
        <v>39</v>
      </c>
      <c r="H63" s="2">
        <v>0</v>
      </c>
      <c r="I63" s="2">
        <v>0</v>
      </c>
      <c r="J63" s="2">
        <v>0</v>
      </c>
      <c r="K63" s="2">
        <v>0</v>
      </c>
      <c r="L63" s="4">
        <f t="shared" si="1"/>
        <v>0</v>
      </c>
      <c r="M63" s="4">
        <f t="shared" si="2"/>
        <v>0</v>
      </c>
      <c r="N63" t="s">
        <v>243</v>
      </c>
      <c r="O63" t="s">
        <v>397</v>
      </c>
      <c r="P63" t="s">
        <v>38</v>
      </c>
    </row>
    <row r="64" spans="1:17" x14ac:dyDescent="0.25">
      <c r="A64" t="s">
        <v>133</v>
      </c>
      <c r="B64" t="s">
        <v>134</v>
      </c>
      <c r="C64" t="s">
        <v>19</v>
      </c>
      <c r="D64" t="s">
        <v>20</v>
      </c>
      <c r="E64" t="s">
        <v>433</v>
      </c>
      <c r="F64" s="1">
        <v>46213</v>
      </c>
      <c r="G64" s="2">
        <v>20</v>
      </c>
      <c r="H64" s="2">
        <v>0</v>
      </c>
      <c r="I64" s="2">
        <v>0</v>
      </c>
      <c r="J64" s="2">
        <v>0</v>
      </c>
      <c r="K64" s="2">
        <v>0</v>
      </c>
      <c r="L64" s="4">
        <f t="shared" si="1"/>
        <v>0</v>
      </c>
      <c r="M64" s="4">
        <f t="shared" si="2"/>
        <v>0</v>
      </c>
      <c r="N64" t="s">
        <v>398</v>
      </c>
      <c r="O64" t="s">
        <v>164</v>
      </c>
      <c r="P64" t="s">
        <v>38</v>
      </c>
      <c r="Q64" t="s">
        <v>38</v>
      </c>
    </row>
    <row r="65" spans="1:17" x14ac:dyDescent="0.25">
      <c r="A65" t="s">
        <v>116</v>
      </c>
      <c r="B65" t="s">
        <v>117</v>
      </c>
      <c r="C65" t="s">
        <v>19</v>
      </c>
      <c r="D65" t="s">
        <v>36</v>
      </c>
      <c r="E65" t="s">
        <v>118</v>
      </c>
      <c r="F65" s="1">
        <v>46213</v>
      </c>
      <c r="G65" s="2">
        <v>20</v>
      </c>
      <c r="H65" s="2">
        <v>2</v>
      </c>
      <c r="I65" s="2">
        <v>27712</v>
      </c>
      <c r="J65" s="2">
        <v>1</v>
      </c>
      <c r="K65" s="2">
        <v>6616</v>
      </c>
      <c r="L65" s="4">
        <f t="shared" si="1"/>
        <v>-1</v>
      </c>
      <c r="M65" s="4">
        <f t="shared" si="2"/>
        <v>-21096</v>
      </c>
      <c r="N65" t="s">
        <v>298</v>
      </c>
      <c r="O65" t="s">
        <v>119</v>
      </c>
      <c r="P65" t="s">
        <v>33</v>
      </c>
      <c r="Q65" t="s">
        <v>399</v>
      </c>
    </row>
    <row r="66" spans="1:17" x14ac:dyDescent="0.25">
      <c r="A66" t="s">
        <v>91</v>
      </c>
      <c r="B66" t="s">
        <v>92</v>
      </c>
      <c r="C66" t="s">
        <v>19</v>
      </c>
      <c r="D66" t="s">
        <v>20</v>
      </c>
      <c r="E66" t="s">
        <v>21</v>
      </c>
      <c r="F66" s="1">
        <v>46213</v>
      </c>
      <c r="G66" s="2">
        <v>20</v>
      </c>
      <c r="H66" s="2">
        <v>0</v>
      </c>
      <c r="I66" s="2">
        <v>0</v>
      </c>
      <c r="J66" s="2">
        <v>0</v>
      </c>
      <c r="K66" s="2">
        <v>0</v>
      </c>
      <c r="L66" s="4">
        <f t="shared" si="1"/>
        <v>0</v>
      </c>
      <c r="M66" s="4">
        <f t="shared" si="2"/>
        <v>0</v>
      </c>
      <c r="N66" t="s">
        <v>350</v>
      </c>
      <c r="O66" t="s">
        <v>158</v>
      </c>
      <c r="P66" t="s">
        <v>38</v>
      </c>
      <c r="Q66" t="s">
        <v>38</v>
      </c>
    </row>
    <row r="67" spans="1:17" x14ac:dyDescent="0.25">
      <c r="A67" t="s">
        <v>262</v>
      </c>
      <c r="B67" t="s">
        <v>263</v>
      </c>
      <c r="C67" t="s">
        <v>42</v>
      </c>
      <c r="D67" t="s">
        <v>43</v>
      </c>
      <c r="E67" t="s">
        <v>98</v>
      </c>
      <c r="F67" s="1">
        <v>46213</v>
      </c>
      <c r="G67" s="2">
        <v>144</v>
      </c>
      <c r="H67" s="2">
        <v>0</v>
      </c>
      <c r="I67" s="2">
        <v>0</v>
      </c>
      <c r="J67" s="2">
        <v>0</v>
      </c>
      <c r="K67" s="2">
        <v>0</v>
      </c>
      <c r="L67" s="4">
        <f t="shared" ref="L67:L100" si="3">IFERROR(VALUE(SUBSTITUTE(J67,",","")),0)-IFERROR(VALUE(SUBSTITUTE(H67,",","")),0)</f>
        <v>0</v>
      </c>
      <c r="M67" s="4">
        <f t="shared" ref="M67:M100" si="4">IFERROR(VALUE(SUBSTITUTE(K67,",","")),0)-IFERROR(VALUE(SUBSTITUTE(I67,",","")),0)</f>
        <v>0</v>
      </c>
      <c r="N67" t="s">
        <v>332</v>
      </c>
      <c r="O67" t="s">
        <v>336</v>
      </c>
      <c r="P67" t="s">
        <v>38</v>
      </c>
    </row>
    <row r="68" spans="1:17" x14ac:dyDescent="0.25">
      <c r="A68" t="s">
        <v>270</v>
      </c>
      <c r="B68" t="s">
        <v>271</v>
      </c>
      <c r="C68" t="s">
        <v>42</v>
      </c>
      <c r="D68" t="s">
        <v>43</v>
      </c>
      <c r="E68" t="s">
        <v>98</v>
      </c>
      <c r="F68" s="1">
        <v>46213</v>
      </c>
      <c r="G68" s="2">
        <v>16</v>
      </c>
      <c r="H68" s="2">
        <v>0</v>
      </c>
      <c r="I68" s="2">
        <v>0</v>
      </c>
      <c r="J68" s="2">
        <v>0</v>
      </c>
      <c r="K68" s="2">
        <v>0</v>
      </c>
      <c r="L68" s="4">
        <f t="shared" si="3"/>
        <v>0</v>
      </c>
      <c r="M68" s="4">
        <f t="shared" si="4"/>
        <v>0</v>
      </c>
      <c r="N68" t="s">
        <v>400</v>
      </c>
      <c r="O68" t="s">
        <v>401</v>
      </c>
      <c r="P68" t="s">
        <v>38</v>
      </c>
      <c r="Q68" t="s">
        <v>402</v>
      </c>
    </row>
    <row r="69" spans="1:17" x14ac:dyDescent="0.25">
      <c r="A69" t="s">
        <v>272</v>
      </c>
      <c r="B69" t="s">
        <v>273</v>
      </c>
      <c r="C69" t="s">
        <v>42</v>
      </c>
      <c r="D69" t="s">
        <v>43</v>
      </c>
      <c r="E69" t="s">
        <v>73</v>
      </c>
      <c r="F69" s="1">
        <v>46213</v>
      </c>
      <c r="G69" s="2">
        <v>20</v>
      </c>
      <c r="H69" s="2">
        <v>0</v>
      </c>
      <c r="I69" s="2">
        <v>0</v>
      </c>
      <c r="J69" s="2">
        <v>0</v>
      </c>
      <c r="K69" s="2">
        <v>0</v>
      </c>
      <c r="L69" s="4">
        <f t="shared" si="3"/>
        <v>0</v>
      </c>
      <c r="M69" s="4">
        <f t="shared" si="4"/>
        <v>0</v>
      </c>
      <c r="N69" t="s">
        <v>403</v>
      </c>
      <c r="O69" t="s">
        <v>404</v>
      </c>
      <c r="P69" t="s">
        <v>38</v>
      </c>
      <c r="Q69" t="s">
        <v>405</v>
      </c>
    </row>
    <row r="70" spans="1:17" x14ac:dyDescent="0.25">
      <c r="A70" t="s">
        <v>39</v>
      </c>
      <c r="B70" t="s">
        <v>40</v>
      </c>
      <c r="C70" t="s">
        <v>19</v>
      </c>
      <c r="D70" t="s">
        <v>36</v>
      </c>
      <c r="E70" t="s">
        <v>37</v>
      </c>
      <c r="F70" s="1">
        <v>46213</v>
      </c>
      <c r="G70" s="2">
        <v>20</v>
      </c>
      <c r="H70" s="2">
        <v>0</v>
      </c>
      <c r="I70" s="2">
        <v>0</v>
      </c>
      <c r="J70" s="2">
        <v>0</v>
      </c>
      <c r="K70" s="2">
        <v>0</v>
      </c>
      <c r="L70" s="4">
        <f t="shared" si="3"/>
        <v>0</v>
      </c>
      <c r="M70" s="4">
        <f t="shared" si="4"/>
        <v>0</v>
      </c>
      <c r="N70" t="s">
        <v>349</v>
      </c>
      <c r="O70" t="s">
        <v>406</v>
      </c>
      <c r="P70" t="s">
        <v>38</v>
      </c>
      <c r="Q70" t="s">
        <v>30</v>
      </c>
    </row>
    <row r="71" spans="1:17" x14ac:dyDescent="0.25">
      <c r="A71" t="s">
        <v>99</v>
      </c>
      <c r="B71" t="s">
        <v>100</v>
      </c>
      <c r="C71" t="s">
        <v>19</v>
      </c>
      <c r="D71" t="s">
        <v>20</v>
      </c>
      <c r="E71" t="s">
        <v>21</v>
      </c>
      <c r="F71" s="1">
        <v>46213</v>
      </c>
      <c r="G71" s="2">
        <v>20</v>
      </c>
      <c r="H71" s="2">
        <v>0</v>
      </c>
      <c r="I71" s="2">
        <v>0</v>
      </c>
      <c r="J71" s="2">
        <v>0</v>
      </c>
      <c r="K71" s="2">
        <v>0</v>
      </c>
      <c r="L71" s="4">
        <f t="shared" si="3"/>
        <v>0</v>
      </c>
      <c r="M71" s="4">
        <f t="shared" si="4"/>
        <v>0</v>
      </c>
      <c r="N71" t="s">
        <v>407</v>
      </c>
      <c r="O71" t="s">
        <v>408</v>
      </c>
      <c r="P71" t="s">
        <v>38</v>
      </c>
      <c r="Q71" t="s">
        <v>41</v>
      </c>
    </row>
    <row r="72" spans="1:17" x14ac:dyDescent="0.25">
      <c r="A72" t="s">
        <v>313</v>
      </c>
      <c r="B72" t="s">
        <v>314</v>
      </c>
      <c r="C72" t="s">
        <v>42</v>
      </c>
      <c r="D72" t="s">
        <v>43</v>
      </c>
      <c r="E72" t="s">
        <v>44</v>
      </c>
      <c r="F72" s="1">
        <v>46213</v>
      </c>
      <c r="G72" s="2">
        <v>10</v>
      </c>
      <c r="H72" s="2">
        <v>0</v>
      </c>
      <c r="I72" s="2">
        <v>0</v>
      </c>
      <c r="J72" s="2">
        <v>0</v>
      </c>
      <c r="K72" s="2">
        <v>0</v>
      </c>
      <c r="L72" s="4">
        <f t="shared" si="3"/>
        <v>0</v>
      </c>
      <c r="M72" s="4">
        <f t="shared" si="4"/>
        <v>0</v>
      </c>
      <c r="N72" t="s">
        <v>353</v>
      </c>
      <c r="O72" t="s">
        <v>409</v>
      </c>
      <c r="P72" t="s">
        <v>38</v>
      </c>
      <c r="Q72" t="s">
        <v>38</v>
      </c>
    </row>
    <row r="73" spans="1:17" x14ac:dyDescent="0.25">
      <c r="A73" t="s">
        <v>343</v>
      </c>
      <c r="B73" t="s">
        <v>344</v>
      </c>
      <c r="C73" t="s">
        <v>42</v>
      </c>
      <c r="D73" t="s">
        <v>167</v>
      </c>
      <c r="E73" t="s">
        <v>168</v>
      </c>
      <c r="F73" s="1">
        <v>46213</v>
      </c>
      <c r="G73" s="2">
        <v>20</v>
      </c>
      <c r="H73" s="2">
        <v>0</v>
      </c>
      <c r="I73" s="2">
        <v>0</v>
      </c>
      <c r="J73" s="2">
        <v>0</v>
      </c>
      <c r="K73" s="2">
        <v>0</v>
      </c>
      <c r="L73" s="4">
        <f t="shared" si="3"/>
        <v>0</v>
      </c>
      <c r="M73" s="4">
        <f t="shared" si="4"/>
        <v>0</v>
      </c>
      <c r="N73" t="s">
        <v>345</v>
      </c>
      <c r="O73" t="s">
        <v>346</v>
      </c>
      <c r="P73" t="s">
        <v>38</v>
      </c>
      <c r="Q73" t="s">
        <v>41</v>
      </c>
    </row>
    <row r="74" spans="1:17" x14ac:dyDescent="0.25">
      <c r="A74" t="s">
        <v>197</v>
      </c>
      <c r="B74" t="s">
        <v>198</v>
      </c>
      <c r="C74" t="s">
        <v>19</v>
      </c>
      <c r="D74" t="s">
        <v>28</v>
      </c>
      <c r="E74" t="s">
        <v>83</v>
      </c>
      <c r="F74" s="1">
        <v>46213</v>
      </c>
      <c r="G74" s="2">
        <v>20</v>
      </c>
      <c r="H74" s="2">
        <v>2</v>
      </c>
      <c r="I74" s="2">
        <v>1386.87</v>
      </c>
      <c r="J74" s="2">
        <v>0</v>
      </c>
      <c r="K74" s="2">
        <v>0</v>
      </c>
      <c r="L74" s="4">
        <f t="shared" si="3"/>
        <v>-2</v>
      </c>
      <c r="M74" s="4">
        <f t="shared" si="4"/>
        <v>-1386.87</v>
      </c>
      <c r="N74" t="s">
        <v>410</v>
      </c>
      <c r="O74" t="s">
        <v>411</v>
      </c>
      <c r="P74" t="s">
        <v>25</v>
      </c>
      <c r="Q74" t="s">
        <v>412</v>
      </c>
    </row>
    <row r="75" spans="1:17" x14ac:dyDescent="0.25">
      <c r="A75" t="s">
        <v>172</v>
      </c>
      <c r="B75" t="s">
        <v>173</v>
      </c>
      <c r="C75" t="s">
        <v>19</v>
      </c>
      <c r="D75" t="s">
        <v>28</v>
      </c>
      <c r="E75" t="s">
        <v>83</v>
      </c>
      <c r="F75" s="1">
        <v>46213</v>
      </c>
      <c r="G75" s="2">
        <v>20</v>
      </c>
      <c r="H75" s="2">
        <v>0</v>
      </c>
      <c r="I75" s="2">
        <v>0</v>
      </c>
      <c r="J75" s="2">
        <v>0</v>
      </c>
      <c r="K75" s="2">
        <v>0</v>
      </c>
      <c r="L75" s="4">
        <f t="shared" si="3"/>
        <v>0</v>
      </c>
      <c r="M75" s="4">
        <f t="shared" si="4"/>
        <v>0</v>
      </c>
      <c r="N75" t="s">
        <v>413</v>
      </c>
      <c r="O75" t="s">
        <v>414</v>
      </c>
      <c r="P75" t="s">
        <v>38</v>
      </c>
      <c r="Q75" t="s">
        <v>38</v>
      </c>
    </row>
    <row r="76" spans="1:17" x14ac:dyDescent="0.25">
      <c r="A76" t="s">
        <v>278</v>
      </c>
      <c r="B76" t="s">
        <v>279</v>
      </c>
      <c r="C76" t="s">
        <v>42</v>
      </c>
      <c r="D76" t="s">
        <v>137</v>
      </c>
      <c r="E76" t="s">
        <v>187</v>
      </c>
      <c r="F76" s="1">
        <v>46213</v>
      </c>
      <c r="G76" s="2">
        <v>36</v>
      </c>
      <c r="H76" s="2">
        <v>16</v>
      </c>
      <c r="I76" s="2">
        <v>20075</v>
      </c>
      <c r="J76" s="2">
        <v>10</v>
      </c>
      <c r="K76" s="2">
        <v>11894</v>
      </c>
      <c r="L76" s="4">
        <f t="shared" si="3"/>
        <v>-6</v>
      </c>
      <c r="M76" s="4">
        <f t="shared" si="4"/>
        <v>-8181</v>
      </c>
      <c r="N76" t="s">
        <v>415</v>
      </c>
      <c r="O76" t="s">
        <v>301</v>
      </c>
      <c r="P76" t="s">
        <v>33</v>
      </c>
      <c r="Q76" t="s">
        <v>145</v>
      </c>
    </row>
    <row r="77" spans="1:17" x14ac:dyDescent="0.25">
      <c r="A77" t="s">
        <v>248</v>
      </c>
      <c r="B77" t="s">
        <v>249</v>
      </c>
      <c r="C77" t="s">
        <v>42</v>
      </c>
      <c r="D77" t="s">
        <v>43</v>
      </c>
      <c r="E77" t="s">
        <v>44</v>
      </c>
      <c r="F77" s="1">
        <v>46213</v>
      </c>
      <c r="G77" s="2">
        <v>20</v>
      </c>
      <c r="H77" s="2">
        <v>0</v>
      </c>
      <c r="I77" s="2">
        <v>0</v>
      </c>
      <c r="J77" s="2">
        <v>0</v>
      </c>
      <c r="K77" s="2">
        <v>0</v>
      </c>
      <c r="L77" s="4">
        <f t="shared" si="3"/>
        <v>0</v>
      </c>
      <c r="M77" s="4">
        <f t="shared" si="4"/>
        <v>0</v>
      </c>
      <c r="N77" t="s">
        <v>203</v>
      </c>
      <c r="O77" t="s">
        <v>282</v>
      </c>
      <c r="P77" t="s">
        <v>38</v>
      </c>
      <c r="Q77" t="s">
        <v>41</v>
      </c>
    </row>
    <row r="78" spans="1:17" x14ac:dyDescent="0.25">
      <c r="A78" t="s">
        <v>125</v>
      </c>
      <c r="B78" t="s">
        <v>126</v>
      </c>
      <c r="C78" t="s">
        <v>19</v>
      </c>
      <c r="D78" t="s">
        <v>20</v>
      </c>
      <c r="E78" t="s">
        <v>21</v>
      </c>
      <c r="F78" s="1">
        <v>46213</v>
      </c>
      <c r="G78" s="2">
        <v>20</v>
      </c>
      <c r="H78" s="2">
        <v>2</v>
      </c>
      <c r="I78" s="3">
        <v>1114.47</v>
      </c>
      <c r="J78" s="2">
        <v>0</v>
      </c>
      <c r="K78" s="2">
        <v>0</v>
      </c>
      <c r="L78" s="4">
        <f t="shared" si="3"/>
        <v>-2</v>
      </c>
      <c r="M78" s="4">
        <f t="shared" si="4"/>
        <v>-1114.47</v>
      </c>
      <c r="N78" t="s">
        <v>416</v>
      </c>
      <c r="O78" t="s">
        <v>417</v>
      </c>
      <c r="P78" t="s">
        <v>25</v>
      </c>
      <c r="Q78" t="s">
        <v>179</v>
      </c>
    </row>
    <row r="79" spans="1:17" x14ac:dyDescent="0.25">
      <c r="A79" t="s">
        <v>169</v>
      </c>
      <c r="B79" t="s">
        <v>170</v>
      </c>
      <c r="C79" t="s">
        <v>42</v>
      </c>
      <c r="D79" t="s">
        <v>167</v>
      </c>
      <c r="E79" t="s">
        <v>168</v>
      </c>
      <c r="F79" s="1">
        <v>46213</v>
      </c>
      <c r="G79" s="2">
        <v>34</v>
      </c>
      <c r="H79" s="2">
        <v>3</v>
      </c>
      <c r="I79" s="2">
        <v>7889</v>
      </c>
      <c r="J79" s="2">
        <v>0</v>
      </c>
      <c r="K79" s="2">
        <v>0</v>
      </c>
      <c r="L79" s="4">
        <f t="shared" si="3"/>
        <v>-3</v>
      </c>
      <c r="M79" s="4">
        <f t="shared" si="4"/>
        <v>-7889</v>
      </c>
      <c r="N79" t="s">
        <v>374</v>
      </c>
      <c r="O79" t="s">
        <v>280</v>
      </c>
      <c r="P79" t="s">
        <v>33</v>
      </c>
    </row>
    <row r="80" spans="1:17" x14ac:dyDescent="0.25">
      <c r="A80" t="s">
        <v>317</v>
      </c>
      <c r="B80" t="s">
        <v>318</v>
      </c>
      <c r="C80" t="s">
        <v>42</v>
      </c>
      <c r="D80" t="s">
        <v>167</v>
      </c>
      <c r="E80" t="s">
        <v>191</v>
      </c>
      <c r="F80" s="1">
        <v>46213</v>
      </c>
      <c r="G80" s="2">
        <v>23</v>
      </c>
      <c r="H80" s="2">
        <v>3</v>
      </c>
      <c r="I80" s="2">
        <v>5326</v>
      </c>
      <c r="J80" s="2">
        <v>0</v>
      </c>
      <c r="K80" s="2">
        <v>0</v>
      </c>
      <c r="L80" s="4">
        <f t="shared" si="3"/>
        <v>-3</v>
      </c>
      <c r="M80" s="4">
        <f t="shared" si="4"/>
        <v>-5326</v>
      </c>
      <c r="N80" t="s">
        <v>309</v>
      </c>
      <c r="O80" t="s">
        <v>309</v>
      </c>
      <c r="P80" t="s">
        <v>33</v>
      </c>
      <c r="Q80" t="s">
        <v>41</v>
      </c>
    </row>
    <row r="81" spans="1:17" x14ac:dyDescent="0.25">
      <c r="A81" t="s">
        <v>317</v>
      </c>
      <c r="B81" t="s">
        <v>318</v>
      </c>
      <c r="C81" t="s">
        <v>42</v>
      </c>
      <c r="D81" t="s">
        <v>167</v>
      </c>
      <c r="E81" t="s">
        <v>191</v>
      </c>
      <c r="F81" s="1">
        <v>46213</v>
      </c>
      <c r="G81" s="2">
        <v>23</v>
      </c>
      <c r="H81" s="2">
        <v>3</v>
      </c>
      <c r="I81" s="2">
        <v>5326</v>
      </c>
      <c r="J81" s="2">
        <v>0</v>
      </c>
      <c r="K81" s="2">
        <v>0</v>
      </c>
      <c r="L81" s="4">
        <f t="shared" si="3"/>
        <v>-3</v>
      </c>
      <c r="M81" s="4">
        <f t="shared" si="4"/>
        <v>-5326</v>
      </c>
      <c r="N81" t="s">
        <v>309</v>
      </c>
      <c r="O81" t="s">
        <v>309</v>
      </c>
      <c r="P81" t="s">
        <v>33</v>
      </c>
      <c r="Q81" t="s">
        <v>41</v>
      </c>
    </row>
    <row r="82" spans="1:17" x14ac:dyDescent="0.25">
      <c r="A82" t="s">
        <v>81</v>
      </c>
      <c r="B82" t="s">
        <v>82</v>
      </c>
      <c r="C82" t="s">
        <v>19</v>
      </c>
      <c r="D82" t="s">
        <v>28</v>
      </c>
      <c r="E82" t="s">
        <v>83</v>
      </c>
      <c r="F82" s="1">
        <v>46213</v>
      </c>
      <c r="G82" s="2">
        <v>20</v>
      </c>
      <c r="H82" s="2">
        <v>0</v>
      </c>
      <c r="I82" s="2">
        <v>0</v>
      </c>
      <c r="J82" s="2">
        <v>0</v>
      </c>
      <c r="K82" s="2">
        <v>0</v>
      </c>
      <c r="L82" s="4">
        <f t="shared" si="3"/>
        <v>0</v>
      </c>
      <c r="M82" s="4">
        <f t="shared" si="4"/>
        <v>0</v>
      </c>
      <c r="N82" t="s">
        <v>355</v>
      </c>
      <c r="O82" t="s">
        <v>418</v>
      </c>
      <c r="P82" t="s">
        <v>38</v>
      </c>
      <c r="Q82" t="s">
        <v>335</v>
      </c>
    </row>
    <row r="83" spans="1:17" x14ac:dyDescent="0.25">
      <c r="A83" t="s">
        <v>65</v>
      </c>
      <c r="B83" t="s">
        <v>66</v>
      </c>
      <c r="C83" t="s">
        <v>42</v>
      </c>
      <c r="D83" t="s">
        <v>43</v>
      </c>
      <c r="E83" t="s">
        <v>44</v>
      </c>
      <c r="F83" s="1">
        <v>46213</v>
      </c>
      <c r="G83" s="2">
        <v>11</v>
      </c>
      <c r="H83" s="2">
        <v>9</v>
      </c>
      <c r="I83" s="2">
        <v>2802</v>
      </c>
      <c r="J83" s="2">
        <v>0</v>
      </c>
      <c r="K83" s="2">
        <v>0</v>
      </c>
      <c r="L83" s="4">
        <f t="shared" si="3"/>
        <v>-9</v>
      </c>
      <c r="M83" s="4">
        <f t="shared" si="4"/>
        <v>-2802</v>
      </c>
      <c r="N83" t="s">
        <v>297</v>
      </c>
      <c r="O83" t="s">
        <v>67</v>
      </c>
      <c r="P83" t="s">
        <v>38</v>
      </c>
    </row>
    <row r="84" spans="1:17" x14ac:dyDescent="0.25">
      <c r="A84" t="s">
        <v>174</v>
      </c>
      <c r="B84" t="s">
        <v>175</v>
      </c>
      <c r="C84" t="s">
        <v>42</v>
      </c>
      <c r="D84" t="s">
        <v>167</v>
      </c>
      <c r="E84" t="s">
        <v>167</v>
      </c>
      <c r="F84" s="1">
        <v>46214</v>
      </c>
      <c r="G84" s="2">
        <v>20</v>
      </c>
      <c r="H84" s="2">
        <v>0</v>
      </c>
      <c r="I84" s="2">
        <v>0</v>
      </c>
      <c r="J84" s="2">
        <v>0</v>
      </c>
      <c r="K84" s="2">
        <v>0</v>
      </c>
      <c r="L84" s="4">
        <f t="shared" si="3"/>
        <v>0</v>
      </c>
      <c r="M84" s="4">
        <f t="shared" si="4"/>
        <v>0</v>
      </c>
      <c r="N84" t="s">
        <v>308</v>
      </c>
      <c r="O84" t="s">
        <v>192</v>
      </c>
      <c r="P84" t="s">
        <v>38</v>
      </c>
      <c r="Q84" t="s">
        <v>41</v>
      </c>
    </row>
    <row r="85" spans="1:17" x14ac:dyDescent="0.25">
      <c r="A85" t="s">
        <v>176</v>
      </c>
      <c r="B85" t="s">
        <v>177</v>
      </c>
      <c r="C85" t="s">
        <v>19</v>
      </c>
      <c r="D85" t="s">
        <v>20</v>
      </c>
      <c r="E85" t="s">
        <v>20</v>
      </c>
      <c r="F85" s="1">
        <v>46213</v>
      </c>
      <c r="G85" s="2">
        <v>62</v>
      </c>
      <c r="H85" s="2">
        <v>0</v>
      </c>
      <c r="I85" s="2">
        <v>0</v>
      </c>
      <c r="J85" s="2">
        <v>0</v>
      </c>
      <c r="K85" s="2">
        <v>0</v>
      </c>
      <c r="L85" s="4">
        <f t="shared" si="3"/>
        <v>0</v>
      </c>
      <c r="M85" s="4">
        <f t="shared" si="4"/>
        <v>0</v>
      </c>
      <c r="N85" t="s">
        <v>419</v>
      </c>
      <c r="O85" t="s">
        <v>178</v>
      </c>
      <c r="P85" t="s">
        <v>38</v>
      </c>
    </row>
    <row r="86" spans="1:17" x14ac:dyDescent="0.25">
      <c r="A86" t="s">
        <v>319</v>
      </c>
      <c r="B86" t="s">
        <v>320</v>
      </c>
      <c r="C86" t="s">
        <v>42</v>
      </c>
      <c r="D86" t="s">
        <v>167</v>
      </c>
      <c r="E86" t="s">
        <v>168</v>
      </c>
      <c r="F86" s="1">
        <v>46213</v>
      </c>
      <c r="G86" s="2">
        <v>31</v>
      </c>
      <c r="H86" s="2">
        <v>16</v>
      </c>
      <c r="I86" s="2">
        <v>48989</v>
      </c>
      <c r="J86" s="2">
        <v>7</v>
      </c>
      <c r="K86" s="2">
        <v>32693</v>
      </c>
      <c r="L86" s="4">
        <f t="shared" si="3"/>
        <v>-9</v>
      </c>
      <c r="M86" s="4">
        <f t="shared" si="4"/>
        <v>-16296</v>
      </c>
      <c r="N86" t="s">
        <v>420</v>
      </c>
      <c r="O86" t="s">
        <v>321</v>
      </c>
      <c r="P86" t="s">
        <v>25</v>
      </c>
    </row>
    <row r="87" spans="1:17" x14ac:dyDescent="0.25">
      <c r="A87" t="s">
        <v>104</v>
      </c>
      <c r="B87" t="s">
        <v>105</v>
      </c>
      <c r="C87" t="s">
        <v>42</v>
      </c>
      <c r="D87" t="s">
        <v>43</v>
      </c>
      <c r="E87" t="s">
        <v>98</v>
      </c>
      <c r="F87" s="1">
        <v>46213</v>
      </c>
      <c r="G87" s="2">
        <v>15</v>
      </c>
      <c r="H87" s="2">
        <v>0</v>
      </c>
      <c r="I87" s="2">
        <v>0</v>
      </c>
      <c r="J87" s="2">
        <v>0</v>
      </c>
      <c r="K87" s="2">
        <v>0</v>
      </c>
      <c r="L87" s="4">
        <f t="shared" si="3"/>
        <v>0</v>
      </c>
      <c r="M87" s="4">
        <f t="shared" si="4"/>
        <v>0</v>
      </c>
      <c r="N87" t="s">
        <v>106</v>
      </c>
      <c r="O87" t="s">
        <v>421</v>
      </c>
      <c r="P87" t="s">
        <v>38</v>
      </c>
      <c r="Q87" t="s">
        <v>38</v>
      </c>
    </row>
    <row r="88" spans="1:17" x14ac:dyDescent="0.25">
      <c r="A88" t="s">
        <v>250</v>
      </c>
      <c r="B88" t="s">
        <v>251</v>
      </c>
      <c r="C88" t="s">
        <v>42</v>
      </c>
      <c r="D88" t="s">
        <v>137</v>
      </c>
      <c r="E88" t="s">
        <v>137</v>
      </c>
      <c r="F88" s="1">
        <v>46213</v>
      </c>
      <c r="G88" s="2">
        <v>21</v>
      </c>
      <c r="H88" s="2">
        <v>2</v>
      </c>
      <c r="I88" s="2">
        <v>2415</v>
      </c>
      <c r="J88" s="2">
        <v>0</v>
      </c>
      <c r="K88" s="2">
        <v>0</v>
      </c>
      <c r="L88" s="4">
        <f t="shared" si="3"/>
        <v>-2</v>
      </c>
      <c r="M88" s="4">
        <f t="shared" si="4"/>
        <v>-2415</v>
      </c>
      <c r="N88" t="s">
        <v>422</v>
      </c>
      <c r="O88" t="s">
        <v>252</v>
      </c>
      <c r="P88" t="s">
        <v>38</v>
      </c>
      <c r="Q88" t="s">
        <v>145</v>
      </c>
    </row>
    <row r="89" spans="1:17" x14ac:dyDescent="0.25">
      <c r="A89" t="s">
        <v>84</v>
      </c>
      <c r="B89" t="s">
        <v>85</v>
      </c>
      <c r="C89" t="s">
        <v>19</v>
      </c>
      <c r="D89" t="s">
        <v>20</v>
      </c>
      <c r="E89" t="s">
        <v>21</v>
      </c>
      <c r="F89" s="1">
        <v>46213</v>
      </c>
      <c r="G89" s="2">
        <v>20</v>
      </c>
      <c r="H89" s="2">
        <v>0</v>
      </c>
      <c r="I89" s="2">
        <v>0</v>
      </c>
      <c r="J89" s="2">
        <v>0</v>
      </c>
      <c r="K89" s="2">
        <v>0</v>
      </c>
      <c r="L89" s="4">
        <f t="shared" si="3"/>
        <v>0</v>
      </c>
      <c r="M89" s="4">
        <f t="shared" si="4"/>
        <v>0</v>
      </c>
      <c r="N89" t="s">
        <v>423</v>
      </c>
      <c r="O89" t="s">
        <v>86</v>
      </c>
      <c r="P89" t="s">
        <v>38</v>
      </c>
    </row>
    <row r="90" spans="1:17" x14ac:dyDescent="0.25">
      <c r="A90" t="s">
        <v>246</v>
      </c>
      <c r="B90" t="s">
        <v>247</v>
      </c>
      <c r="C90" t="s">
        <v>42</v>
      </c>
      <c r="D90" t="s">
        <v>43</v>
      </c>
      <c r="E90" t="s">
        <v>44</v>
      </c>
      <c r="F90" s="1">
        <v>46213</v>
      </c>
      <c r="G90" s="2">
        <v>10</v>
      </c>
      <c r="H90" s="2">
        <v>0</v>
      </c>
      <c r="I90" s="2">
        <v>0</v>
      </c>
      <c r="J90" s="2">
        <v>0</v>
      </c>
      <c r="K90" s="2">
        <v>0</v>
      </c>
      <c r="L90" s="4">
        <f t="shared" si="3"/>
        <v>0</v>
      </c>
      <c r="M90" s="4">
        <f t="shared" si="4"/>
        <v>0</v>
      </c>
      <c r="N90" t="s">
        <v>358</v>
      </c>
      <c r="O90" t="s">
        <v>424</v>
      </c>
      <c r="P90" t="s">
        <v>33</v>
      </c>
      <c r="Q90" t="s">
        <v>22</v>
      </c>
    </row>
    <row r="91" spans="1:17" x14ac:dyDescent="0.25">
      <c r="A91" t="s">
        <v>274</v>
      </c>
      <c r="B91" t="s">
        <v>275</v>
      </c>
      <c r="C91" t="s">
        <v>19</v>
      </c>
      <c r="D91" t="s">
        <v>20</v>
      </c>
      <c r="E91" t="s">
        <v>433</v>
      </c>
      <c r="F91" s="1">
        <v>46213</v>
      </c>
      <c r="G91" s="2">
        <v>20</v>
      </c>
      <c r="H91" s="2">
        <v>0</v>
      </c>
      <c r="I91" s="2">
        <v>0</v>
      </c>
      <c r="J91" s="2">
        <v>0</v>
      </c>
      <c r="K91" s="2">
        <v>0</v>
      </c>
      <c r="L91" s="4">
        <f t="shared" si="3"/>
        <v>0</v>
      </c>
      <c r="M91" s="4">
        <f t="shared" si="4"/>
        <v>0</v>
      </c>
      <c r="N91" t="s">
        <v>425</v>
      </c>
      <c r="O91" t="s">
        <v>281</v>
      </c>
      <c r="P91" t="s">
        <v>38</v>
      </c>
      <c r="Q91" t="s">
        <v>38</v>
      </c>
    </row>
    <row r="92" spans="1:17" x14ac:dyDescent="0.25">
      <c r="A92" t="s">
        <v>148</v>
      </c>
      <c r="B92" t="s">
        <v>149</v>
      </c>
      <c r="C92" t="s">
        <v>19</v>
      </c>
      <c r="D92" t="s">
        <v>20</v>
      </c>
      <c r="E92" t="s">
        <v>20</v>
      </c>
      <c r="F92" s="1">
        <v>46213</v>
      </c>
      <c r="G92" s="2">
        <v>20</v>
      </c>
      <c r="H92" s="2">
        <v>0</v>
      </c>
      <c r="I92" s="2">
        <v>0</v>
      </c>
      <c r="J92" s="2">
        <v>0</v>
      </c>
      <c r="K92" s="2">
        <v>0</v>
      </c>
      <c r="L92" s="4">
        <f t="shared" si="3"/>
        <v>0</v>
      </c>
      <c r="M92" s="4">
        <f t="shared" si="4"/>
        <v>0</v>
      </c>
      <c r="N92" t="s">
        <v>426</v>
      </c>
      <c r="O92" t="s">
        <v>427</v>
      </c>
      <c r="P92" t="s">
        <v>38</v>
      </c>
    </row>
    <row r="93" spans="1:17" x14ac:dyDescent="0.25">
      <c r="A93" t="s">
        <v>160</v>
      </c>
      <c r="B93" t="s">
        <v>161</v>
      </c>
      <c r="C93" t="s">
        <v>42</v>
      </c>
      <c r="D93" t="s">
        <v>137</v>
      </c>
      <c r="E93" t="s">
        <v>138</v>
      </c>
      <c r="F93" s="1">
        <v>46213</v>
      </c>
      <c r="G93" s="2">
        <v>24</v>
      </c>
      <c r="H93" s="2">
        <v>0</v>
      </c>
      <c r="I93" s="2">
        <v>0</v>
      </c>
      <c r="J93" s="2">
        <v>0</v>
      </c>
      <c r="K93" s="2">
        <v>0</v>
      </c>
      <c r="L93" s="4">
        <f t="shared" si="3"/>
        <v>0</v>
      </c>
      <c r="M93" s="4">
        <f t="shared" si="4"/>
        <v>0</v>
      </c>
      <c r="N93" t="s">
        <v>428</v>
      </c>
      <c r="O93" t="s">
        <v>257</v>
      </c>
      <c r="P93" t="s">
        <v>38</v>
      </c>
      <c r="Q93" t="s">
        <v>38</v>
      </c>
    </row>
    <row r="94" spans="1:17" x14ac:dyDescent="0.25">
      <c r="A94" t="s">
        <v>88</v>
      </c>
      <c r="B94" t="s">
        <v>89</v>
      </c>
      <c r="C94" t="s">
        <v>19</v>
      </c>
      <c r="D94" t="s">
        <v>28</v>
      </c>
      <c r="E94" t="s">
        <v>28</v>
      </c>
      <c r="F94" s="1">
        <v>46213</v>
      </c>
      <c r="G94" s="2">
        <v>18</v>
      </c>
      <c r="H94" s="2">
        <v>0</v>
      </c>
      <c r="I94" s="2">
        <v>0</v>
      </c>
      <c r="J94" s="2">
        <v>0</v>
      </c>
      <c r="K94" s="2">
        <v>0</v>
      </c>
      <c r="L94" s="4">
        <f t="shared" si="3"/>
        <v>0</v>
      </c>
      <c r="M94" s="4">
        <f t="shared" si="4"/>
        <v>0</v>
      </c>
      <c r="N94" t="s">
        <v>90</v>
      </c>
      <c r="O94" t="s">
        <v>87</v>
      </c>
      <c r="P94" t="s">
        <v>38</v>
      </c>
      <c r="Q94" t="s">
        <v>22</v>
      </c>
    </row>
    <row r="95" spans="1:17" x14ac:dyDescent="0.25">
      <c r="A95" t="s">
        <v>120</v>
      </c>
      <c r="B95" t="s">
        <v>121</v>
      </c>
      <c r="C95" t="s">
        <v>19</v>
      </c>
      <c r="D95" t="s">
        <v>28</v>
      </c>
      <c r="E95" t="s">
        <v>28</v>
      </c>
      <c r="F95" s="1">
        <v>46213</v>
      </c>
      <c r="G95" s="2">
        <v>20</v>
      </c>
      <c r="H95" s="2">
        <v>0</v>
      </c>
      <c r="I95" s="2">
        <v>0</v>
      </c>
      <c r="J95" s="2">
        <v>0</v>
      </c>
      <c r="K95" s="2">
        <v>0</v>
      </c>
      <c r="L95" s="4">
        <f t="shared" si="3"/>
        <v>0</v>
      </c>
      <c r="M95" s="4">
        <f t="shared" si="4"/>
        <v>0</v>
      </c>
      <c r="N95" t="s">
        <v>429</v>
      </c>
      <c r="O95" t="s">
        <v>430</v>
      </c>
      <c r="P95" t="s">
        <v>38</v>
      </c>
      <c r="Q95" t="s">
        <v>38</v>
      </c>
    </row>
    <row r="96" spans="1:17" x14ac:dyDescent="0.25">
      <c r="A96" t="s">
        <v>96</v>
      </c>
      <c r="B96" t="s">
        <v>97</v>
      </c>
      <c r="C96" t="s">
        <v>42</v>
      </c>
      <c r="D96" t="s">
        <v>43</v>
      </c>
      <c r="E96" t="s">
        <v>98</v>
      </c>
      <c r="F96" s="1">
        <v>46213</v>
      </c>
      <c r="G96" s="2">
        <v>15</v>
      </c>
      <c r="H96" s="2">
        <v>0</v>
      </c>
      <c r="I96" s="2">
        <v>0</v>
      </c>
      <c r="J96" s="2">
        <v>0</v>
      </c>
      <c r="K96" s="2">
        <v>0</v>
      </c>
      <c r="L96" s="4">
        <f t="shared" si="3"/>
        <v>0</v>
      </c>
      <c r="M96" s="4">
        <f t="shared" si="4"/>
        <v>0</v>
      </c>
      <c r="N96" t="s">
        <v>431</v>
      </c>
      <c r="O96" t="s">
        <v>57</v>
      </c>
      <c r="P96" t="s">
        <v>38</v>
      </c>
      <c r="Q96" t="s">
        <v>38</v>
      </c>
    </row>
    <row r="97" spans="1:17" x14ac:dyDescent="0.25">
      <c r="A97" t="s">
        <v>276</v>
      </c>
      <c r="B97" t="s">
        <v>277</v>
      </c>
      <c r="C97" t="s">
        <v>42</v>
      </c>
      <c r="D97" t="s">
        <v>43</v>
      </c>
      <c r="E97" t="s">
        <v>98</v>
      </c>
      <c r="F97" s="1">
        <v>46213</v>
      </c>
      <c r="G97" s="2">
        <v>15</v>
      </c>
      <c r="H97" s="2">
        <v>0</v>
      </c>
      <c r="I97" s="2">
        <v>0</v>
      </c>
      <c r="J97" s="2">
        <v>0</v>
      </c>
      <c r="K97" s="2">
        <v>0</v>
      </c>
      <c r="L97" s="4">
        <f t="shared" si="3"/>
        <v>0</v>
      </c>
      <c r="M97" s="4">
        <f t="shared" si="4"/>
        <v>0</v>
      </c>
      <c r="N97" t="s">
        <v>22</v>
      </c>
      <c r="O97" t="s">
        <v>22</v>
      </c>
      <c r="P97" t="s">
        <v>38</v>
      </c>
      <c r="Q97" t="s">
        <v>38</v>
      </c>
    </row>
    <row r="98" spans="1:17" x14ac:dyDescent="0.25">
      <c r="A98" t="s">
        <v>305</v>
      </c>
      <c r="B98" t="s">
        <v>306</v>
      </c>
      <c r="C98" t="s">
        <v>42</v>
      </c>
      <c r="D98" t="s">
        <v>167</v>
      </c>
      <c r="E98" t="s">
        <v>191</v>
      </c>
      <c r="F98" s="1">
        <v>46213</v>
      </c>
      <c r="G98" s="2">
        <v>39</v>
      </c>
      <c r="H98" s="2">
        <v>0</v>
      </c>
      <c r="I98" s="2">
        <v>0</v>
      </c>
      <c r="J98" s="2">
        <v>0</v>
      </c>
      <c r="K98" s="2">
        <v>0</v>
      </c>
      <c r="L98" s="4">
        <f t="shared" si="3"/>
        <v>0</v>
      </c>
      <c r="M98" s="4">
        <f t="shared" si="4"/>
        <v>0</v>
      </c>
      <c r="N98" t="s">
        <v>307</v>
      </c>
      <c r="O98" t="s">
        <v>356</v>
      </c>
      <c r="P98" t="s">
        <v>38</v>
      </c>
      <c r="Q98" t="s">
        <v>103</v>
      </c>
    </row>
    <row r="99" spans="1:17" x14ac:dyDescent="0.25">
      <c r="A99" t="s">
        <v>127</v>
      </c>
      <c r="B99" t="s">
        <v>128</v>
      </c>
      <c r="C99" t="s">
        <v>19</v>
      </c>
      <c r="D99" t="s">
        <v>36</v>
      </c>
      <c r="E99" t="s">
        <v>76</v>
      </c>
      <c r="F99" s="1">
        <v>46214</v>
      </c>
      <c r="G99" s="2">
        <v>20</v>
      </c>
      <c r="H99" s="2">
        <v>0</v>
      </c>
      <c r="I99" s="2">
        <v>0</v>
      </c>
      <c r="J99" s="2">
        <v>0</v>
      </c>
      <c r="K99" s="2">
        <v>0</v>
      </c>
      <c r="L99" s="4">
        <f t="shared" si="3"/>
        <v>0</v>
      </c>
      <c r="M99" s="4">
        <f t="shared" si="4"/>
        <v>0</v>
      </c>
      <c r="N99" t="s">
        <v>22</v>
      </c>
      <c r="O99" t="s">
        <v>22</v>
      </c>
      <c r="P99" t="s">
        <v>38</v>
      </c>
      <c r="Q99" t="s">
        <v>22</v>
      </c>
    </row>
    <row r="100" spans="1:17" x14ac:dyDescent="0.25">
      <c r="A100" t="s">
        <v>122</v>
      </c>
      <c r="B100" t="s">
        <v>123</v>
      </c>
      <c r="C100" t="s">
        <v>19</v>
      </c>
      <c r="D100" t="s">
        <v>36</v>
      </c>
      <c r="E100" t="s">
        <v>80</v>
      </c>
      <c r="F100" s="1">
        <v>46214</v>
      </c>
      <c r="G100" s="2">
        <v>20</v>
      </c>
      <c r="H100" s="2">
        <v>0</v>
      </c>
      <c r="I100" s="2">
        <v>0</v>
      </c>
      <c r="J100" s="2">
        <v>0</v>
      </c>
      <c r="K100" s="2">
        <v>0</v>
      </c>
      <c r="L100" s="4">
        <f t="shared" si="3"/>
        <v>0</v>
      </c>
      <c r="M100" s="4">
        <f t="shared" si="4"/>
        <v>0</v>
      </c>
      <c r="N100" t="s">
        <v>432</v>
      </c>
      <c r="O100" t="s">
        <v>124</v>
      </c>
      <c r="P100" t="s">
        <v>38</v>
      </c>
      <c r="Q100" t="s">
        <v>38</v>
      </c>
    </row>
  </sheetData>
  <autoFilter ref="A1:V100" xr:uid="{1ED3CB17-D3CF-4742-B5B7-C9691AB415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Lakshmi</dc:creator>
  <cp:keywords/>
  <dc:description/>
  <cp:lastModifiedBy>Divya Lakshmi</cp:lastModifiedBy>
  <cp:revision/>
  <dcterms:created xsi:type="dcterms:W3CDTF">2026-06-30T18:31:28Z</dcterms:created>
  <dcterms:modified xsi:type="dcterms:W3CDTF">2026-07-12T15:37:15Z</dcterms:modified>
  <cp:category/>
  <cp:contentStatus/>
</cp:coreProperties>
</file>